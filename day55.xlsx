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World\Desktop\"/>
    </mc:Choice>
  </mc:AlternateContent>
  <xr:revisionPtr revIDLastSave="0" documentId="8_{9D982ED7-26FA-42B3-8437-BCC4011030F6}" xr6:coauthVersionLast="47" xr6:coauthVersionMax="47" xr10:uidLastSave="{00000000-0000-0000-0000-000000000000}"/>
  <bookViews>
    <workbookView xWindow="-120" yWindow="-120" windowWidth="20730" windowHeight="11160" xr2:uid="{826A2DEC-B611-4652-B923-BC30560A6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K23" i="1" a="1"/>
  <c r="K23" i="1" s="1"/>
  <c r="H25" i="1"/>
  <c r="G25" i="1"/>
  <c r="L10" i="1"/>
  <c r="M21" i="1"/>
  <c r="M20" i="1"/>
  <c r="L14" i="1"/>
  <c r="L13" i="1"/>
  <c r="K17" i="1"/>
  <c r="K16" i="1"/>
  <c r="I23" i="1"/>
  <c r="I22" i="1"/>
  <c r="G22" i="1"/>
  <c r="G21" i="1"/>
  <c r="G20" i="1"/>
  <c r="G19" i="1"/>
  <c r="G18" i="1"/>
  <c r="I18" i="1"/>
  <c r="I17" i="1"/>
  <c r="H16" i="1"/>
  <c r="H17" i="1"/>
  <c r="I16" i="1"/>
  <c r="H18" i="1"/>
  <c r="C15" i="1"/>
  <c r="E18" i="1" a="1"/>
  <c r="E18" i="1" s="1"/>
  <c r="C21" i="1"/>
  <c r="C20" i="1"/>
  <c r="E16" i="1"/>
  <c r="D15" i="1"/>
  <c r="M6" i="1"/>
  <c r="K5" i="1"/>
  <c r="K4" i="1"/>
  <c r="I13" i="1"/>
  <c r="I12" i="1"/>
  <c r="I11" i="1"/>
  <c r="I10" i="1"/>
  <c r="I9" i="1"/>
  <c r="G9" i="1"/>
  <c r="G8" i="1"/>
  <c r="G7" i="1"/>
  <c r="G6" i="1"/>
  <c r="G5" i="1"/>
  <c r="G4" i="1"/>
  <c r="D10" i="1"/>
  <c r="D9" i="1"/>
  <c r="D8" i="1"/>
  <c r="D7" i="1"/>
  <c r="D6" i="1"/>
  <c r="D5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<sst xmlns="http://schemas.openxmlformats.org/spreadsheetml/2006/main" count="31" uniqueCount="28">
  <si>
    <t xml:space="preserve">aggregate function </t>
  </si>
  <si>
    <t>sum</t>
  </si>
  <si>
    <t>count</t>
  </si>
  <si>
    <t>average</t>
  </si>
  <si>
    <t>counta</t>
  </si>
  <si>
    <t>ciuntblank</t>
  </si>
  <si>
    <t>min max</t>
  </si>
  <si>
    <t>text fundtion</t>
  </si>
  <si>
    <t>left</t>
  </si>
  <si>
    <t>right</t>
  </si>
  <si>
    <t>mid</t>
  </si>
  <si>
    <t>len</t>
  </si>
  <si>
    <t>trim</t>
  </si>
  <si>
    <t>concat/textjoin</t>
  </si>
  <si>
    <t>upper</t>
  </si>
  <si>
    <t>lower</t>
  </si>
  <si>
    <t>proper</t>
  </si>
  <si>
    <t>shweta</t>
  </si>
  <si>
    <t xml:space="preserve">  shweta</t>
  </si>
  <si>
    <t>ghoti</t>
  </si>
  <si>
    <t>SHWETA</t>
  </si>
  <si>
    <t>data analyst</t>
  </si>
  <si>
    <t>apple</t>
  </si>
  <si>
    <t>(apple,apple,apple)</t>
  </si>
  <si>
    <t>shweta123@gmail.com</t>
  </si>
  <si>
    <t>data.analyst2025@company.co.in</t>
  </si>
  <si>
    <t>emp2025</t>
  </si>
  <si>
    <t>79/852/25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</si>
</sst>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ta.analyst2025@company.co.in" TargetMode="External"/><Relationship Id="rId1" Type="http://schemas.openxmlformats.org/officeDocument/2006/relationships/hyperlink" Target="mailto:shwet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B1C3-48DA-4FAD-B8F2-69F84E89FF83}">
  <dimension ref="A2:M25"/>
  <sheetViews>
    <sheetView tabSelected="1" workbookViewId="0">
      <selection activeCell="C23" sqref="C23"/>
    </sheetView>
  </sheetViews>
  <sheetFormatPr defaultRowHeight="15" x14ac:dyDescent="0.25"/>
  <cols>
    <col min="2" max="2" width="19.140625" customWidth="1"/>
    <col min="3" max="3" width="47.42578125" customWidth="1"/>
    <col min="7" max="7" width="26.7109375" customWidth="1"/>
    <col min="12" max="12" width="28" customWidth="1"/>
  </cols>
  <sheetData>
    <row r="2" spans="1:13" x14ac:dyDescent="0.25">
      <c r="A2" t="s">
        <v>0</v>
      </c>
      <c r="E2" t="s">
        <v>7</v>
      </c>
    </row>
    <row r="4" spans="1:13" x14ac:dyDescent="0.25">
      <c r="A4" t="s">
        <v>1</v>
      </c>
      <c r="C4">
        <v>10</v>
      </c>
      <c r="D4">
        <f>SUM(C4:C8)</f>
        <v>120</v>
      </c>
      <c r="E4" t="s">
        <v>8</v>
      </c>
      <c r="F4" t="s">
        <v>18</v>
      </c>
      <c r="G4" t="str">
        <f>LEFT(F4,3)</f>
        <v xml:space="preserve">  s</v>
      </c>
      <c r="I4" t="s">
        <v>17</v>
      </c>
      <c r="J4" t="s">
        <v>20</v>
      </c>
      <c r="K4">
        <f>FIND("W",J4)</f>
        <v>3</v>
      </c>
    </row>
    <row r="5" spans="1:13" x14ac:dyDescent="0.25">
      <c r="A5" t="s">
        <v>2</v>
      </c>
      <c r="C5">
        <v>20</v>
      </c>
      <c r="D5">
        <f>AVERAGE(C4:C8)</f>
        <v>30</v>
      </c>
      <c r="E5" t="s">
        <v>9</v>
      </c>
      <c r="G5" t="str">
        <f>RIGHT(F4,2)</f>
        <v>ta</v>
      </c>
      <c r="I5" t="s">
        <v>19</v>
      </c>
      <c r="K5">
        <f>SEARCH("h",J4)</f>
        <v>2</v>
      </c>
    </row>
    <row r="6" spans="1:13" x14ac:dyDescent="0.25">
      <c r="A6" t="s">
        <v>3</v>
      </c>
      <c r="D6">
        <f>COUNT(C4:C8)</f>
        <v>4</v>
      </c>
      <c r="E6" t="s">
        <v>10</v>
      </c>
      <c r="G6" t="str">
        <f>MID(F4,2,3)</f>
        <v xml:space="preserve"> sh</v>
      </c>
      <c r="K6" t="s">
        <v>21</v>
      </c>
      <c r="M6" t="str">
        <f>SUBSTITUTE(K6,"data","bussiness")</f>
        <v>bussiness analyst</v>
      </c>
    </row>
    <row r="7" spans="1:13" x14ac:dyDescent="0.25">
      <c r="A7" t="s">
        <v>4</v>
      </c>
      <c r="C7">
        <v>40</v>
      </c>
      <c r="D7">
        <f>COUNTA(C4:C8)</f>
        <v>4</v>
      </c>
      <c r="E7" t="s">
        <v>11</v>
      </c>
      <c r="G7">
        <f>LEN(F4)</f>
        <v>8</v>
      </c>
    </row>
    <row r="8" spans="1:13" x14ac:dyDescent="0.25">
      <c r="A8" t="s">
        <v>5</v>
      </c>
      <c r="C8">
        <v>50</v>
      </c>
      <c r="D8">
        <f>COUNTBLANK(C4:C8)</f>
        <v>1</v>
      </c>
      <c r="E8" t="s">
        <v>12</v>
      </c>
      <c r="G8" t="str">
        <f>TRIM(F4)</f>
        <v>shweta</v>
      </c>
      <c r="L8" t="s">
        <v>27</v>
      </c>
    </row>
    <row r="9" spans="1:13" x14ac:dyDescent="0.25">
      <c r="A9" t="s">
        <v>6</v>
      </c>
      <c r="D9">
        <f>MAX(C4:C8)</f>
        <v>50</v>
      </c>
      <c r="E9" t="s">
        <v>13</v>
      </c>
      <c r="G9" t="str">
        <f>_xlfn.CONCAT(I4,I5)</f>
        <v>shwetaghoti</v>
      </c>
      <c r="I9" t="str">
        <f>_xlfn.TEXTJOIN(" ",TRUE,I4,I5)</f>
        <v>shweta ghoti</v>
      </c>
    </row>
    <row r="10" spans="1:13" x14ac:dyDescent="0.25">
      <c r="D10">
        <f>MIN(C4:C8)</f>
        <v>10</v>
      </c>
      <c r="E10" t="s">
        <v>14</v>
      </c>
      <c r="I10" t="str">
        <f>_xlfn.CONCAT(I4," ",I5)</f>
        <v>shweta ghoti</v>
      </c>
      <c r="L10" t="str">
        <f>SUBSTITUTE(L8,"/","")</f>
        <v>7985225</v>
      </c>
    </row>
    <row r="11" spans="1:13" x14ac:dyDescent="0.25">
      <c r="E11" t="s">
        <v>15</v>
      </c>
      <c r="I11" t="str">
        <f>UPPER(I4)</f>
        <v>SHWETA</v>
      </c>
    </row>
    <row r="12" spans="1:13" x14ac:dyDescent="0.25">
      <c r="E12" t="s">
        <v>16</v>
      </c>
      <c r="I12" t="str">
        <f>LOWER(J4)</f>
        <v>shweta</v>
      </c>
    </row>
    <row r="13" spans="1:13" x14ac:dyDescent="0.25">
      <c r="I13" t="str">
        <f>PROPER(I9)</f>
        <v>Shweta Ghoti</v>
      </c>
      <c r="L13" t="str">
        <f>RIGHT(G16,SEARCH("@",G16)-1)</f>
        <v>gmail.com</v>
      </c>
    </row>
    <row r="14" spans="1:13" x14ac:dyDescent="0.25">
      <c r="L14" t="str">
        <f>RIGHT(G16,LEN(G16)-SEARCH("@",G16))</f>
        <v>gmail.com</v>
      </c>
    </row>
    <row r="15" spans="1:13" x14ac:dyDescent="0.25">
      <c r="B15" t="s">
        <v>17</v>
      </c>
      <c r="C15">
        <f>FIND("w",B15)</f>
        <v>3</v>
      </c>
      <c r="D15">
        <f>SEARCH("W",B15)</f>
        <v>3</v>
      </c>
    </row>
    <row r="16" spans="1:13" x14ac:dyDescent="0.25">
      <c r="B16" t="s">
        <v>22</v>
      </c>
      <c r="E16" t="str">
        <f>SUBSTITUTE(B16,"apple","mango")</f>
        <v>mango</v>
      </c>
      <c r="G16" s="1" t="s">
        <v>24</v>
      </c>
      <c r="H16" t="str">
        <f>LEFT(G16,6)</f>
        <v>shweta</v>
      </c>
      <c r="I16" t="str">
        <f>LEFT(G16,SEARCH("@",G16)-1)</f>
        <v>shweta123</v>
      </c>
      <c r="K16" t="str">
        <f>LEFT(G16,9)</f>
        <v>shweta123</v>
      </c>
    </row>
    <row r="17" spans="2:13" x14ac:dyDescent="0.25">
      <c r="B17" t="s">
        <v>22</v>
      </c>
      <c r="H17">
        <f>SEARCH("@",G16)</f>
        <v>10</v>
      </c>
      <c r="I17" t="str">
        <f>RIGHT(G16,11)</f>
        <v>3@gmail.com</v>
      </c>
      <c r="K17" t="str">
        <f>LEFT(G16,LEN(G16)-SEARCH("@",G16))</f>
        <v>shweta123</v>
      </c>
    </row>
    <row r="18" spans="2:13" x14ac:dyDescent="0.25">
      <c r="B18" t="s">
        <v>22</v>
      </c>
      <c r="E18" t="e" cm="1">
        <f t="array" ref="E18">iferror</f>
        <v>#NAME?</v>
      </c>
      <c r="G18" t="str">
        <f>RIGHT(G16,SEARCH("g",G16)-2)</f>
        <v>gmail.com</v>
      </c>
      <c r="H18">
        <f>FIND("@",G16)</f>
        <v>10</v>
      </c>
      <c r="I18" t="str">
        <f>RIGHT(G16,SEARCH("g",G16)-2)</f>
        <v>gmail.com</v>
      </c>
    </row>
    <row r="19" spans="2:13" x14ac:dyDescent="0.25">
      <c r="G19">
        <f>LEN(G16)</f>
        <v>19</v>
      </c>
    </row>
    <row r="20" spans="2:13" x14ac:dyDescent="0.25">
      <c r="B20" t="s">
        <v>23</v>
      </c>
      <c r="C20" t="str">
        <f>SUBSTITUTE(B20,"apple","juicy",1)</f>
        <v>(juicy,apple,apple)</v>
      </c>
      <c r="G20" t="str">
        <f>RIGHT(G16,SEARCH("@",G16)-1)</f>
        <v>gmail.com</v>
      </c>
      <c r="L20" t="s">
        <v>26</v>
      </c>
      <c r="M20" t="str">
        <f>RIGHT(L20,LEN(L20)-3)</f>
        <v>2025</v>
      </c>
    </row>
    <row r="21" spans="2:13" x14ac:dyDescent="0.25">
      <c r="C21" t="str">
        <f>SUBSTITUTE(B20,"apple","fuck")</f>
        <v>(fuck,fuck,fuck)</v>
      </c>
      <c r="G21" t="str">
        <f>LEFT(G20,5)</f>
        <v>gmail</v>
      </c>
      <c r="M21" t="str">
        <f>RIGHT(L20,LEN(L20)-3)</f>
        <v>2025</v>
      </c>
    </row>
    <row r="22" spans="2:13" x14ac:dyDescent="0.25">
      <c r="G22" t="str">
        <f>RIGHT(G16,SEARCH("@",G16)-1)</f>
        <v>gmail.com</v>
      </c>
      <c r="I22" t="str">
        <f>RIGHT(G23,SEARCH("@",G23)-4)</f>
        <v>company.co.in</v>
      </c>
    </row>
    <row r="23" spans="2:13" x14ac:dyDescent="0.25">
      <c r="C23" t="str">
        <f>MID(G23,SEARCH(".",G23)+1,SEARCH("@",G23)-1)</f>
        <v>analyst2025@comp</v>
      </c>
      <c r="G23" s="1" t="s">
        <v>25</v>
      </c>
      <c r="I23" t="str">
        <f>RIGHT(G23,LEN(G23)-SEARCH("@",G23))</f>
        <v>company.co.in</v>
      </c>
      <c r="K23" t="e" cm="1">
        <f t="array" aca="1" ref="K23" ca="1">RIGH6(G23,LEN(G23)-SEARCH("@",G23))</f>
        <v>#NAME?</v>
      </c>
    </row>
    <row r="25" spans="2:13" x14ac:dyDescent="0.25">
      <c r="G25" t="str">
        <f>LEFT(G23,SEARCH("@",G23)-1)</f>
        <v>data.analyst2025</v>
      </c>
      <c r="H25" t="str">
        <f>MID(G25,6,11)</f>
        <v>analyst2025</v>
      </c>
    </row>
  </sheetData>
  <hyperlinks>
    <hyperlink ref="G16" r:id="rId1" xr:uid="{115D5BA9-CE4F-48CE-A534-2F4EBAC2008E}"/>
    <hyperlink ref="G23" r:id="rId2" xr:uid="{0D4CB0D0-F403-437B-BA55-F56C94726D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shwetaghotekar1313@gmail.com</dc:creator>
  <cp:lastModifiedBy>shwetaghotekar1313@gmail.com</cp:lastModifiedBy>
  <dcterms:created xsi:type="dcterms:W3CDTF">2026-03-02T13:21:42Z</dcterms:created>
  <dcterms:modified xsi:type="dcterms:W3CDTF">2026-03-02T15:20:22Z</dcterms:modified>
</cp:coreProperties>
</file>