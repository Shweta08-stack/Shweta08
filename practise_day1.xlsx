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<sst xmlns="http://schemas.openxmlformats.org/spreadsheetml/2006/main" count="74" uniqueCount="53">
  <si>
    <t>LOGICAL FUNCTION</t>
  </si>
  <si>
    <t>NAME</t>
  </si>
  <si>
    <t>SALES</t>
  </si>
  <si>
    <t>QUE?</t>
  </si>
  <si>
    <t>REGION</t>
  </si>
  <si>
    <t>SEARCH?</t>
  </si>
  <si>
    <t>RAHUL</t>
  </si>
  <si>
    <t>total sales</t>
  </si>
  <si>
    <t>WEST</t>
  </si>
  <si>
    <t>SHWETA</t>
  </si>
  <si>
    <t>PRIYA</t>
  </si>
  <si>
    <t>average sales</t>
  </si>
  <si>
    <t>EAST</t>
  </si>
  <si>
    <t>ARJUN</t>
  </si>
  <si>
    <t>highest value</t>
  </si>
  <si>
    <t>SAKSHI</t>
  </si>
  <si>
    <t>SIMRAN</t>
  </si>
  <si>
    <t>SNEHA</t>
  </si>
  <si>
    <t>lowest value</t>
  </si>
  <si>
    <t>SOUTH</t>
  </si>
  <si>
    <t>NEHA</t>
  </si>
  <si>
    <t>total people</t>
  </si>
  <si>
    <t>how many numeric ?</t>
  </si>
  <si>
    <t>emp id</t>
  </si>
  <si>
    <t>name</t>
  </si>
  <si>
    <t xml:space="preserve">salary </t>
  </si>
  <si>
    <t>DEPT</t>
  </si>
  <si>
    <t>V-LOOKUP</t>
  </si>
  <si>
    <t>X-LOOKUP</t>
  </si>
  <si>
    <t>h-lookup</t>
  </si>
  <si>
    <t>answers</t>
  </si>
  <si>
    <t>shweta</t>
  </si>
  <si>
    <t>HR</t>
  </si>
  <si>
    <t>sakshi</t>
  </si>
  <si>
    <t>FINANCE</t>
  </si>
  <si>
    <t>shruti</t>
  </si>
  <si>
    <t>selu</t>
  </si>
  <si>
    <t>garg</t>
  </si>
  <si>
    <t>MARKETING</t>
  </si>
  <si>
    <t>sales</t>
  </si>
  <si>
    <t>shahrukh</t>
  </si>
  <si>
    <t xml:space="preserve">INDEX-MATCH </t>
  </si>
  <si>
    <t>SALARY</t>
  </si>
  <si>
    <t>JOHN</t>
  </si>
  <si>
    <t xml:space="preserve">1)find the position of aditi in the table </t>
  </si>
  <si>
    <t>MAYA</t>
  </si>
  <si>
    <t>2) find the 3rd slaary in the column</t>
  </si>
  <si>
    <t>ADITI</t>
  </si>
  <si>
    <t>IT</t>
  </si>
  <si>
    <t>3)find the salary of zoya</t>
  </si>
  <si>
    <t>find the dept of rahul?</t>
  </si>
  <si>
    <t>ZOYA</t>
  </si>
  <si>
    <t>find the salary of maya?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</si>
</sst>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28"/>
  <sheetViews>
    <sheetView tabSelected="1" topLeftCell="A8" workbookViewId="0">
      <selection activeCell="F20" sqref="F20"/>
    </sheetView>
  </sheetViews>
  <sheetFormatPr defaultColWidth="9.14285714285714" defaultRowHeight="15"/>
  <cols>
    <col min="3" max="5" width="20.8571428571429" customWidth="1"/>
    <col min="6" max="6" width="14.4285714285714" customWidth="1"/>
  </cols>
  <sheetData>
    <row r="2" spans="9:10">
      <c r="I2" s="2" t="s">
        <v>0</v>
      </c>
      <c r="J2" s="2"/>
    </row>
    <row r="4" spans="1:12">
      <c r="A4" t="s">
        <v>1</v>
      </c>
      <c r="B4" t="s">
        <v>2</v>
      </c>
      <c r="E4" t="s">
        <v>3</v>
      </c>
      <c r="I4" t="s">
        <v>1</v>
      </c>
      <c r="J4" t="s">
        <v>2</v>
      </c>
      <c r="K4" t="s">
        <v>4</v>
      </c>
      <c r="L4" t="s">
        <v>5</v>
      </c>
    </row>
    <row r="5" spans="1:16">
      <c r="A5" t="s">
        <v>6</v>
      </c>
      <c r="B5">
        <v>1200</v>
      </c>
      <c r="E5" t="s">
        <v>7</v>
      </c>
      <c r="F5" s="1">
        <f>SUM(B5:B9)</f>
        <v>4850</v>
      </c>
      <c r="I5" t="s">
        <v>6</v>
      </c>
      <c r="J5">
        <v>1200</v>
      </c>
      <c r="K5" t="s">
        <v>8</v>
      </c>
      <c r="L5" t="s">
        <v>9</v>
      </c>
      <c r="M5" t="str">
        <f>IF(J5&gt;1000,"HIGH","LOW")</f>
        <v>HIGH</v>
      </c>
      <c r="N5" t="str">
        <f>IF(AND(J5&gt;1000,K5="WEST"),"top performer","regular")</f>
        <v>top performer</v>
      </c>
      <c r="O5" t="str">
        <f>IF(OR(K5="WEST",K5="SOUTH"),"ZONE A","ZONE B")</f>
        <v>ZONE A</v>
      </c>
      <c r="P5" t="str">
        <f>IFERROR(VLOOKUP(L5,I5:J8,2,FALSE),"NOT FOUND")</f>
        <v>NOT FOUND</v>
      </c>
    </row>
    <row r="6" spans="1:16">
      <c r="A6" t="s">
        <v>10</v>
      </c>
      <c r="B6">
        <v>950</v>
      </c>
      <c r="E6" t="s">
        <v>11</v>
      </c>
      <c r="F6">
        <f>AVERAGE(B5:B9)</f>
        <v>1212.5</v>
      </c>
      <c r="I6" t="s">
        <v>10</v>
      </c>
      <c r="J6">
        <v>950</v>
      </c>
      <c r="K6" t="s">
        <v>12</v>
      </c>
      <c r="L6" t="s">
        <v>6</v>
      </c>
      <c r="M6" t="str">
        <f>IF(J6&gt;1000,"HIGH","LOW")</f>
        <v>LOW</v>
      </c>
      <c r="N6" t="str">
        <f>IF(AND(J6&gt;1000,K6="WEST"),"top performer","regular")</f>
        <v>regular</v>
      </c>
      <c r="O6" t="str">
        <f>IF(OR(K6="WEST",K6="SOUTH"),"ZONE A","ZONE B")</f>
        <v>ZONE B</v>
      </c>
      <c r="P6">
        <f>IFERROR(VLOOKUP(L6,I5:J9,2,FALSE),"NOT FOUND")</f>
        <v>1200</v>
      </c>
    </row>
    <row r="7" spans="1:16">
      <c r="A7" t="s">
        <v>13</v>
      </c>
      <c r="B7">
        <v>1600</v>
      </c>
      <c r="E7" t="s">
        <v>14</v>
      </c>
      <c r="F7">
        <f>MAX(B5:B9)</f>
        <v>1600</v>
      </c>
      <c r="I7" t="s">
        <v>13</v>
      </c>
      <c r="J7">
        <v>1600</v>
      </c>
      <c r="K7" t="s">
        <v>8</v>
      </c>
      <c r="L7" t="s">
        <v>15</v>
      </c>
      <c r="M7" t="str">
        <f>IF(J7&gt;1000,"HIGH","LOW")</f>
        <v>HIGH</v>
      </c>
      <c r="N7" t="str">
        <f>IF(AND(J7&gt;1000,K7="WEST"),"top performer","regular")</f>
        <v>top performer</v>
      </c>
      <c r="O7" t="str">
        <f>IF(OR(K7="WEST",K7="SOUTH"),"ZONE A","ZONE B")</f>
        <v>ZONE A</v>
      </c>
      <c r="P7" t="str">
        <f>IFERROR(VLOOKUP(L7,I7:J10,2,FALSE),"NOT FOUND")</f>
        <v>NOT FOUND</v>
      </c>
    </row>
    <row r="8" spans="1:16">
      <c r="A8" t="s">
        <v>16</v>
      </c>
      <c r="B8" t="s">
        <v>17</v>
      </c>
      <c r="E8" t="s">
        <v>18</v>
      </c>
      <c r="F8">
        <f>MIN(B5:B9)</f>
        <v>950</v>
      </c>
      <c r="I8" t="s">
        <v>16</v>
      </c>
      <c r="J8">
        <v>900</v>
      </c>
      <c r="K8" t="s">
        <v>19</v>
      </c>
      <c r="L8" t="s">
        <v>16</v>
      </c>
      <c r="M8" t="str">
        <f>IF(J8&gt;1000,"HIGH","LOW")</f>
        <v>LOW</v>
      </c>
      <c r="N8" t="str">
        <f>IF(AND(J8&gt;1000,K8="WEST"),"top performer","regular")</f>
        <v>regular</v>
      </c>
      <c r="O8" t="str">
        <f>IF(OR(K8="WEST",K8="SOUTH"),"ZONE A","ZONE B")</f>
        <v>ZONE A</v>
      </c>
      <c r="P8">
        <f>IFERROR(VLOOKUP(L8,I8:J11,2,FALSE),"NOT FOUND")</f>
        <v>900</v>
      </c>
    </row>
    <row r="9" spans="1:6">
      <c r="A9" t="s">
        <v>20</v>
      </c>
      <c r="B9">
        <v>1100</v>
      </c>
      <c r="E9" t="s">
        <v>21</v>
      </c>
      <c r="F9">
        <f>COUNTA(B5:B9)</f>
        <v>5</v>
      </c>
    </row>
    <row r="10" spans="5:6">
      <c r="E10" t="s">
        <v>22</v>
      </c>
      <c r="F10">
        <f>COUNT(B5:B9)</f>
        <v>4</v>
      </c>
    </row>
    <row r="13" spans="1:12">
      <c r="A13" t="s">
        <v>23</v>
      </c>
      <c r="B13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L13" t="s">
        <v>30</v>
      </c>
    </row>
    <row r="15" spans="1:14">
      <c r="A15">
        <v>101</v>
      </c>
      <c r="B15" t="s">
        <v>31</v>
      </c>
      <c r="C15">
        <v>40000</v>
      </c>
      <c r="D15" t="s">
        <v>32</v>
      </c>
      <c r="E15" t="str">
        <f>VLOOKUP(104,A15:B18,2,FALSE)</f>
        <v>shahrukh</v>
      </c>
      <c r="F15" t="str">
        <f>_xlfn.XLOOKUP(104,A15:A18,B15:B18,2,FALSE)</f>
        <v>shahrukh</v>
      </c>
      <c r="G15" t="s">
        <v>23</v>
      </c>
      <c r="H15" s="3">
        <v>101</v>
      </c>
      <c r="I15" s="3">
        <v>102</v>
      </c>
      <c r="J15" s="3">
        <v>103</v>
      </c>
      <c r="K15" s="3">
        <v>104</v>
      </c>
      <c r="L15" t="str">
        <f>HLOOKUP(102,H15:K16,2,FALSE)</f>
        <v>shweta</v>
      </c>
      <c r="N15">
        <f>VLOOKUP(103,A15:C18,3,FALSE)</f>
        <v>90000</v>
      </c>
    </row>
    <row r="16" spans="1:14">
      <c r="A16">
        <v>102</v>
      </c>
      <c r="B16" t="s">
        <v>33</v>
      </c>
      <c r="C16">
        <v>450000</v>
      </c>
      <c r="D16" t="s">
        <v>34</v>
      </c>
      <c r="E16" t="str">
        <f>VLOOKUP(101,A15:B18,2,FALSE)</f>
        <v>shweta</v>
      </c>
      <c r="F16" t="str">
        <f>_xlfn.XLOOKUP(101,A15:A18,B15:B18,2,FALSE)</f>
        <v>shweta</v>
      </c>
      <c r="G16" t="s">
        <v>24</v>
      </c>
      <c r="H16" s="3" t="s">
        <v>33</v>
      </c>
      <c r="I16" s="3" t="s">
        <v>31</v>
      </c>
      <c r="J16" s="3" t="s">
        <v>35</v>
      </c>
      <c r="K16" s="3" t="s">
        <v>36</v>
      </c>
      <c r="L16">
        <f>HLOOKUP(103,H15:K17,3,FALSE)</f>
        <v>20000</v>
      </c>
      <c r="N16" t="str">
        <f>VLOOKUP(104,A15:D18,4,FALSE)</f>
        <v>SALES</v>
      </c>
    </row>
    <row r="17" spans="1:14">
      <c r="A17">
        <v>103</v>
      </c>
      <c r="B17" t="s">
        <v>37</v>
      </c>
      <c r="C17">
        <v>90000</v>
      </c>
      <c r="D17" t="s">
        <v>38</v>
      </c>
      <c r="E17" t="str">
        <f>VLOOKUP(102,A15:B18,2,FALSE)</f>
        <v>sakshi</v>
      </c>
      <c r="F17" t="str">
        <f>_xlfn.XLOOKUP(102,A15:A18,B15:B18,2,FALSE)</f>
        <v>sakshi</v>
      </c>
      <c r="G17" t="s">
        <v>39</v>
      </c>
      <c r="H17">
        <v>10000</v>
      </c>
      <c r="I17">
        <v>15000</v>
      </c>
      <c r="J17">
        <v>20000</v>
      </c>
      <c r="K17">
        <v>3000</v>
      </c>
      <c r="L17">
        <f>HLOOKUP(104,H15:K17,3,FALSE)</f>
        <v>3000</v>
      </c>
      <c r="N17" t="str">
        <f>IFERROR(VLOOKUP(105,A15:D18,2,FALSE),"NOT FOUND")</f>
        <v>NOT FOUND</v>
      </c>
    </row>
    <row r="18" spans="1:14">
      <c r="A18">
        <v>104</v>
      </c>
      <c r="B18" t="s">
        <v>40</v>
      </c>
      <c r="C18">
        <v>470000</v>
      </c>
      <c r="D18" t="s">
        <v>2</v>
      </c>
      <c r="E18" t="e">
        <f>VLOOKUP(103,C15:C18,3,FALSE)</f>
        <v>#N/A</v>
      </c>
      <c r="F18" t="str">
        <f>_xlfn.XLOOKUP(103,A15:A18,B15:B18,2,FALSE)</f>
        <v>garg</v>
      </c>
      <c r="L18" t="str">
        <f>HLOOKUP(101,H15:K16,2,FALSE)</f>
        <v>sakshi</v>
      </c>
      <c r="N18" t="str">
        <f>IFERROR(VLOOKUP(106,A15:D18,4,FALSE),"NOT FOUND")</f>
        <v>NOT FOUND</v>
      </c>
    </row>
    <row r="19" spans="6:6">
      <c r="F19" t="str">
        <f>IFERROR(_xlfn.XLOOKUP(105,A15:A18,C15:C19,3,FALSE),"NOT FOUND")</f>
        <v>NOT FOUND</v>
      </c>
    </row>
    <row r="21" spans="1:2">
      <c r="A21" s="2" t="s">
        <v>41</v>
      </c>
      <c r="B21" s="2"/>
    </row>
    <row r="23" spans="1:5">
      <c r="A23" t="s">
        <v>1</v>
      </c>
      <c r="B23" t="s">
        <v>26</v>
      </c>
      <c r="E23" t="s">
        <v>42</v>
      </c>
    </row>
    <row r="24" spans="1:9">
      <c r="A24" t="s">
        <v>43</v>
      </c>
      <c r="B24" t="s">
        <v>2</v>
      </c>
      <c r="E24">
        <v>45000</v>
      </c>
      <c r="F24">
        <f>MATCH("ADITI",A24:A28,0)</f>
        <v>3</v>
      </c>
      <c r="I24" t="s">
        <v>44</v>
      </c>
    </row>
    <row r="25" spans="1:9">
      <c r="A25" t="s">
        <v>45</v>
      </c>
      <c r="B25" t="s">
        <v>34</v>
      </c>
      <c r="E25">
        <v>48000</v>
      </c>
      <c r="F25">
        <f>INDEX(E24:E28,3)</f>
        <v>50000</v>
      </c>
      <c r="I25" t="s">
        <v>46</v>
      </c>
    </row>
    <row r="26" spans="1:9">
      <c r="A26" t="s">
        <v>47</v>
      </c>
      <c r="B26" t="s">
        <v>48</v>
      </c>
      <c r="E26">
        <v>50000</v>
      </c>
      <c r="F26" cm="1">
        <f t="array" ref="F26">INDEX(E24:E28,MATCH("ZOYA",A24:A28,0))</f>
        <v>52000</v>
      </c>
      <c r="I26" t="s">
        <v>49</v>
      </c>
    </row>
    <row r="27" spans="1:9">
      <c r="A27" t="s">
        <v>6</v>
      </c>
      <c r="B27" t="s">
        <v>2</v>
      </c>
      <c r="E27">
        <v>47000</v>
      </c>
      <c r="F27" t="str" cm="1">
        <f t="array" ref="F27">INDEX(B24:B28,MATCH("RAHUL",A24:A28,0))</f>
        <v>SALES</v>
      </c>
      <c r="I27" t="s">
        <v>50</v>
      </c>
    </row>
    <row r="28" spans="1:9">
      <c r="A28" t="s">
        <v>51</v>
      </c>
      <c r="B28" t="s">
        <v>38</v>
      </c>
      <c r="E28">
        <v>52000</v>
      </c>
      <c r="F28" cm="1">
        <f t="array" ref="F28">INDEX(E24:E28,MATCH("maya",A24:A28,0))</f>
        <v>48000</v>
      </c>
      <c r="I28" t="s">
        <v>52</v>
      </c>
    </row>
  </sheetData>
  <pageMargins left="0.75" right="0.75" top="1" bottom="1" header="0.5" footer="0.5"/>
  <headerFooter/>
  <ignoredErrors>
    <ignoredError sqref="E1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World</dc:creator>
  <cp:lastModifiedBy>Shweta</cp:lastModifiedBy>
  <dcterms:created xsi:type="dcterms:W3CDTF">2025-07-04T02:00:00Z</dcterms:created>
  <dcterms:modified xsi:type="dcterms:W3CDTF">2025-07-04T04:48:39Z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EAC5E9B0B8D34F9C9E74C1F037C5DCC6_11</vt:lpwstr>
  </property>
  <property fmtid="{D5CDD505-2E9C-101B-9397-08002B2CF9AE}" pid="3" name="KSOProductBuildVer">
    <vt:lpwstr>2057-12.2.0.21179</vt:lpwstr>
  </property>
</Properties>
</file>