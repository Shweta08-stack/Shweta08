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World\Desktop\"/>
    </mc:Choice>
  </mc:AlternateContent>
  <xr:revisionPtr revIDLastSave="0" documentId="8_{25B9F790-3633-4C61-BE4B-D680BEF822D8}" xr6:coauthVersionLast="47" xr6:coauthVersionMax="47" xr10:uidLastSave="{00000000-0000-0000-0000-000000000000}"/>
  <bookViews>
    <workbookView xWindow="-120" yWindow="-120" windowWidth="20730" windowHeight="11160" xr2:uid="{4E300794-7CC6-48D4-BDC3-DC5387107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I16" i="1"/>
  <c r="I15" i="1"/>
  <c r="H20" i="1" a="1"/>
  <c r="H20" i="1" s="1"/>
  <c r="I14" i="1"/>
  <c r="I13" i="1"/>
  <c r="D13" i="1"/>
  <c r="D12" i="1"/>
  <c r="C14" i="1"/>
  <c r="C12" i="1"/>
  <c r="J5" i="1"/>
  <c r="I5" i="1"/>
  <c r="H5" i="1"/>
  <c r="G5" i="1"/>
  <c r="F5" i="1"/>
  <c r="E5" i="1" a="1"/>
  <c r="E5" i="1" s="1"/>
  <c r="I8" i="1"/>
  <c r="I6" i="1"/>
  <c r="I7" i="1"/>
  <c r="H8" i="1"/>
  <c r="H7" i="1"/>
  <c r="H6" i="1"/>
  <c r="G8" i="1"/>
  <c r="G7" i="1"/>
  <c r="G6" i="1"/>
  <c r="F8" i="1"/>
  <c r="F7" i="1"/>
  <c r="F6" i="1"/>
  <c r="E8" i="1"/>
  <c r="E7" i="1"/>
  <c r="E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<sst xmlns="http://schemas.openxmlformats.org/spreadsheetml/2006/main" count="35" uniqueCount="25">
  <si>
    <t>marks</t>
  </si>
  <si>
    <t>task1</t>
  </si>
  <si>
    <t>task2</t>
  </si>
  <si>
    <t>salary</t>
  </si>
  <si>
    <t>task3</t>
  </si>
  <si>
    <t>age</t>
  </si>
  <si>
    <t>city</t>
  </si>
  <si>
    <t>mumbai</t>
  </si>
  <si>
    <t>pune</t>
  </si>
  <si>
    <t>karnataka</t>
  </si>
  <si>
    <t>mp</t>
  </si>
  <si>
    <t>numbers</t>
  </si>
  <si>
    <t>dept</t>
  </si>
  <si>
    <t>HR</t>
  </si>
  <si>
    <t>SALES</t>
  </si>
  <si>
    <t>GENDER</t>
  </si>
  <si>
    <t>MALE</t>
  </si>
  <si>
    <t>TRANS</t>
  </si>
  <si>
    <t>CITY</t>
  </si>
  <si>
    <t>MUMBAI</t>
  </si>
  <si>
    <t>PUNE</t>
  </si>
  <si>
    <t>MP</t>
  </si>
  <si>
    <t>FINANCE</t>
  </si>
  <si>
    <t>amount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</si>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</sst>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8554-2D20-4E58-A9EC-6C9EE0EE182E}">
  <dimension ref="A3:J20"/>
  <sheetViews>
    <sheetView tabSelected="1" topLeftCell="F1" workbookViewId="0">
      <selection activeCell="F1" sqref="F1:I6"/>
    </sheetView>
  </sheetViews>
  <sheetFormatPr defaultRowHeight="15" x14ac:dyDescent="0.25"/>
  <cols>
    <col min="7" max="7" width="16.28515625" customWidth="1"/>
  </cols>
  <sheetData>
    <row r="3" spans="1:10" x14ac:dyDescent="0.25">
      <c r="A3" t="s">
        <v>5</v>
      </c>
      <c r="B3" t="s">
        <v>0</v>
      </c>
      <c r="C3" t="s">
        <v>3</v>
      </c>
      <c r="D3" t="s">
        <v>6</v>
      </c>
      <c r="E3" t="s">
        <v>1</v>
      </c>
      <c r="F3" t="s">
        <v>2</v>
      </c>
      <c r="G3" t="s">
        <v>4</v>
      </c>
    </row>
    <row r="5" spans="1:10" x14ac:dyDescent="0.25">
      <c r="A5">
        <v>25</v>
      </c>
      <c r="B5">
        <v>75</v>
      </c>
      <c r="C5">
        <v>20000</v>
      </c>
      <c r="D5" t="s">
        <v>7</v>
      </c>
      <c r="E5" t="e" cm="1">
        <f t="array" ref="E5">IF(E13B5&gt;50,"pass","fail")</f>
        <v>#NAME?</v>
      </c>
      <c r="F5" t="str">
        <f>IF(C5&gt;=25000,"good","low")</f>
        <v>low</v>
      </c>
      <c r="G5" t="str">
        <f>IF(AND(A5&gt;=18,A5&lt;=60),"working age","not working age")</f>
        <v>working age</v>
      </c>
      <c r="H5" t="str">
        <f>IF(OR(D5="mumbai",D5="pune"),"MH","other")</f>
        <v>MH</v>
      </c>
      <c r="I5" t="str">
        <f>IF(B5&gt;=90,"A",IF(B5&gt;=70,"B",IF(B5&gt;=50,"C","FAIL")))</f>
        <v>B</v>
      </c>
      <c r="J5" t="str">
        <f>IF(AND(C5&gt;=20000,C5&lt;=50000),"average","low")</f>
        <v>average</v>
      </c>
    </row>
    <row r="6" spans="1:10" x14ac:dyDescent="0.25">
      <c r="A6">
        <v>55</v>
      </c>
      <c r="B6">
        <v>32</v>
      </c>
      <c r="C6">
        <v>75000</v>
      </c>
      <c r="D6" t="s">
        <v>8</v>
      </c>
      <c r="E6" t="str">
        <f>IF(B6&gt;50,"pass","fail")</f>
        <v>fail</v>
      </c>
      <c r="F6" t="str">
        <f>IF(C6&gt;=25000,"good","low")</f>
        <v>good</v>
      </c>
      <c r="G6" t="str">
        <f>IF(AND(A6&gt;=25,A6&lt;=60),"working age","not working age")</f>
        <v>working age</v>
      </c>
      <c r="H6" t="str">
        <f>IF(OR(D6="mumbai",D6="pune"),"MH","other")</f>
        <v>MH</v>
      </c>
      <c r="I6" t="str">
        <f>IF(B6&gt;=90,"A",IF(B6&gt;=70,"B",IF(B6&gt;=50,"C",IF(B6&lt;50,"FAIL"))))</f>
        <v>FAIL</v>
      </c>
    </row>
    <row r="7" spans="1:10" x14ac:dyDescent="0.25">
      <c r="A7">
        <v>80</v>
      </c>
      <c r="B7">
        <v>40</v>
      </c>
      <c r="C7">
        <v>50000</v>
      </c>
      <c r="D7" t="s">
        <v>9</v>
      </c>
      <c r="E7" t="str">
        <f>IF(B7&gt;50,"pass","fail")</f>
        <v>fail</v>
      </c>
      <c r="F7" t="str">
        <f>IF(C7&gt;=25000,"good","low")</f>
        <v>good</v>
      </c>
      <c r="G7" t="str">
        <f>IF(AND(A7&gt;=25,A7&lt;=60),"working age","not working age ")</f>
        <v xml:space="preserve">not working age </v>
      </c>
      <c r="H7" t="str">
        <f>IF(OR(D7="mumnai","pune"),"MH","other")</f>
        <v>other</v>
      </c>
      <c r="I7" t="str">
        <f>IF(B7&gt;=90,"A",IF(B7&gt;=75,"B",IF(B7&gt;=25,"C",IF(B7&lt;50,"FAIL"))))</f>
        <v>C</v>
      </c>
    </row>
    <row r="8" spans="1:10" x14ac:dyDescent="0.25">
      <c r="A8">
        <v>15</v>
      </c>
      <c r="B8">
        <v>18</v>
      </c>
      <c r="C8">
        <v>25000</v>
      </c>
      <c r="D8" t="s">
        <v>10</v>
      </c>
      <c r="E8" t="str">
        <f>IF(B8&gt;50,"pass","fail")</f>
        <v>fail</v>
      </c>
      <c r="F8" t="str">
        <f>IF(C8&gt;=25000,"good","low")</f>
        <v>good</v>
      </c>
      <c r="G8" t="str">
        <f>IF(AND(A8&gt;=25,A8&lt;=60),"working age","not working age ")</f>
        <v xml:space="preserve">not working age </v>
      </c>
      <c r="H8" t="str">
        <f>IF(OR(D8="mumbai",D8="pune"),"MH","other")</f>
        <v>other</v>
      </c>
      <c r="I8" t="str">
        <f>IF(B8&gt;=90,"A",IF(B8&gt;=75,"B",IF(B8&gt;=25,"C",IF(B8&lt;50,"FAIL"))))</f>
        <v>FAIL</v>
      </c>
    </row>
    <row r="11" spans="1:10" x14ac:dyDescent="0.25">
      <c r="A11" t="s">
        <v>12</v>
      </c>
      <c r="B11" t="s">
        <v>11</v>
      </c>
    </row>
    <row r="12" spans="1:10" x14ac:dyDescent="0.25">
      <c r="A12" t="s">
        <v>13</v>
      </c>
      <c r="B12">
        <v>-1</v>
      </c>
      <c r="C12" t="str">
        <f>IF(B12&lt;0,"negative","positive")</f>
        <v>negative</v>
      </c>
      <c r="D12" t="str">
        <f>IF(A12="HR","BONUS","NO")</f>
        <v>BONUS</v>
      </c>
      <c r="E12" t="s">
        <v>23</v>
      </c>
      <c r="F12" t="s">
        <v>6</v>
      </c>
      <c r="G12" t="s">
        <v>3</v>
      </c>
      <c r="H12" t="s">
        <v>12</v>
      </c>
    </row>
    <row r="13" spans="1:10" x14ac:dyDescent="0.25">
      <c r="A13" t="s">
        <v>14</v>
      </c>
      <c r="B13">
        <v>-2</v>
      </c>
      <c r="D13" t="str">
        <f>IF(A13="HR","BONUS","NO")</f>
        <v>NO</v>
      </c>
      <c r="G13">
        <v>50000</v>
      </c>
      <c r="H13" t="s">
        <v>13</v>
      </c>
      <c r="I13">
        <f>SUMIF(H13:H17,"SALES",G13:G17)</f>
        <v>25000</v>
      </c>
    </row>
    <row r="14" spans="1:10" x14ac:dyDescent="0.25">
      <c r="B14">
        <v>10</v>
      </c>
      <c r="C14" t="str">
        <f>IF(B14&lt;0,"negative","positive")</f>
        <v>positive</v>
      </c>
      <c r="E14">
        <v>1000</v>
      </c>
      <c r="F14" t="s">
        <v>7</v>
      </c>
      <c r="G14">
        <v>20000</v>
      </c>
      <c r="H14" t="s">
        <v>24</v>
      </c>
      <c r="I14">
        <f ca="1">SUMIF(F14:F17,"mumbai",E14:E16)</f>
        <v>1000</v>
      </c>
    </row>
    <row r="15" spans="1:10" x14ac:dyDescent="0.25">
      <c r="B15">
        <v>20</v>
      </c>
      <c r="E15">
        <v>500</v>
      </c>
      <c r="F15" t="s">
        <v>8</v>
      </c>
      <c r="G15">
        <v>75000</v>
      </c>
      <c r="H15" t="s">
        <v>22</v>
      </c>
      <c r="I15">
        <f>COUNTIF(H13:H17,"hr")</f>
        <v>1</v>
      </c>
    </row>
    <row r="16" spans="1:10" x14ac:dyDescent="0.25">
      <c r="E16">
        <v>8000</v>
      </c>
      <c r="F16" t="s">
        <v>9</v>
      </c>
      <c r="G16">
        <v>50000</v>
      </c>
      <c r="H16" t="s">
        <v>24</v>
      </c>
      <c r="I16">
        <f>COUNTIF(B5:B8,"&gt;=60")</f>
        <v>1</v>
      </c>
    </row>
    <row r="17" spans="2:9" x14ac:dyDescent="0.25">
      <c r="B17" t="s">
        <v>15</v>
      </c>
      <c r="C17" t="s">
        <v>18</v>
      </c>
      <c r="F17" t="s">
        <v>10</v>
      </c>
      <c r="G17">
        <v>25000</v>
      </c>
      <c r="H17" t="s">
        <v>14</v>
      </c>
      <c r="I17">
        <f>AVERAGEIF(H13:H17,"it",G13:G17)</f>
        <v>35000</v>
      </c>
    </row>
    <row r="18" spans="2:9" x14ac:dyDescent="0.25">
      <c r="B18" t="s">
        <v>16</v>
      </c>
      <c r="C18" t="s">
        <v>19</v>
      </c>
    </row>
    <row r="19" spans="2:9" x14ac:dyDescent="0.25">
      <c r="B19" t="s">
        <v>17</v>
      </c>
      <c r="C19" t="s">
        <v>20</v>
      </c>
    </row>
    <row r="20" spans="2:9" x14ac:dyDescent="0.25">
      <c r="C20" t="s">
        <v>21</v>
      </c>
      <c r="H20" t="e" cm="1">
        <f t="array" ref="H20">SUMIF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shwetaghotekar1313@gmail.com</dc:creator>
  <cp:lastModifiedBy>shwetaghotekar1313@gmail.com</cp:lastModifiedBy>
  <dcterms:created xsi:type="dcterms:W3CDTF">2026-02-27T06:01:12Z</dcterms:created>
  <dcterms:modified xsi:type="dcterms:W3CDTF">2026-02-27T08:06:05Z</dcterms:modified>
</cp:coreProperties>
</file>