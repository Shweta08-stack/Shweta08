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C:\Users\PC World\Desktop\"/>
    </mc:Choice>
  </mc:AlternateContent>
  <xr:revisionPtr revIDLastSave="0" documentId="13_ncr:1_{CCBCC8F4-6731-4CAC-878E-30A5394B28E4}" xr6:coauthVersionLast="47" xr6:coauthVersionMax="47" xr10:uidLastSave="{00000000-0000-0000-0000-000000000000}"/>
  <bookViews>
    <workbookView xWindow="-120" yWindow="-120" windowWidth="20730" windowHeight="11160" activeTab="3" xr2:uid="{00000000-000D-0000-FFFF-FFFF00000000}"/>
  </bookViews>
  <sheets>
    <sheet name="Data" sheetId="2" r:id="rId1"/>
    <sheet name="Clean_Data" sheetId="1" r:id="rId2"/>
    <sheet name="Insights" sheetId="5" r:id="rId3"/>
    <sheet name="EDA" sheetId="7" r:id="rId4"/>
    <sheet name="Dashboard" sheetId="8" r:id="rId5"/>
  </sheets>
  <definedNames>
    <definedName name="_xlnm._FilterDatabase" localSheetId="1" hidden="1">Clean_Data!$1:$49</definedName>
    <definedName name="Slicer_Category">#N/A</definedName>
    <definedName name="Slicer_Region">#N/A</definedName>
    <definedName name="Slicer_Year">#N/A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9" i="1" l="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alcChain>
</file>

<file path=xl/sharedStrings.xml><?xml version="1.0" encoding="utf-8"?>
<sst xmlns="http://schemas.openxmlformats.org/spreadsheetml/2006/main" count="1355" uniqueCount="387">
  <si>
    <t>Row ID</t>
  </si>
  <si>
    <t>Order ID</t>
  </si>
  <si>
    <t>Order Date</t>
  </si>
  <si>
    <t>Ship Date</t>
  </si>
  <si>
    <t>Ship Mode</t>
  </si>
  <si>
    <t>Customer ID</t>
  </si>
  <si>
    <t>Customer_Name</t>
  </si>
  <si>
    <t>Segment</t>
  </si>
  <si>
    <t>Country</t>
  </si>
  <si>
    <t>City</t>
  </si>
  <si>
    <t>State</t>
  </si>
  <si>
    <t>Postal Code</t>
  </si>
  <si>
    <t>Region</t>
  </si>
  <si>
    <t>Product ID</t>
  </si>
  <si>
    <t>Category</t>
  </si>
  <si>
    <t>Sub-Category</t>
  </si>
  <si>
    <t>Product Name</t>
  </si>
  <si>
    <t>Sales</t>
  </si>
  <si>
    <t>Quantity</t>
  </si>
  <si>
    <t>Discount</t>
  </si>
  <si>
    <t>Profit</t>
  </si>
  <si>
    <t>CA-2013-152156</t>
  </si>
  <si>
    <t>Second Class</t>
  </si>
  <si>
    <t>CG-12520</t>
  </si>
  <si>
    <t>Claire Gute</t>
  </si>
  <si>
    <t>Consumer</t>
  </si>
  <si>
    <t>United States</t>
  </si>
  <si>
    <t>Henderson</t>
  </si>
  <si>
    <t>Kentucky</t>
  </si>
  <si>
    <t>South</t>
  </si>
  <si>
    <t>FUR-BO-10001798</t>
  </si>
  <si>
    <t>Furniture</t>
  </si>
  <si>
    <t>Bookcases</t>
  </si>
  <si>
    <t>Bush Somerset Collection Bookcase</t>
  </si>
  <si>
    <t>CA-2013-138688</t>
  </si>
  <si>
    <t>6/17/2013</t>
  </si>
  <si>
    <t>DV-13045</t>
  </si>
  <si>
    <t>Darrin Van Huff</t>
  </si>
  <si>
    <t>Corporate</t>
  </si>
  <si>
    <t>Los Angeles</t>
  </si>
  <si>
    <t>California</t>
  </si>
  <si>
    <t>West</t>
  </si>
  <si>
    <t>OFF-LA-10000240</t>
  </si>
  <si>
    <t>Office Supplies</t>
  </si>
  <si>
    <t>Labels</t>
  </si>
  <si>
    <t>Self-Adhesive Address Labels for Typewriters by Universal</t>
  </si>
  <si>
    <t>US-2012-108966</t>
  </si>
  <si>
    <t>10/18/2012</t>
  </si>
  <si>
    <t>Standard Class</t>
  </si>
  <si>
    <t>SO-20335</t>
  </si>
  <si>
    <t>Sean O'Donnell</t>
  </si>
  <si>
    <t>Fort Lauderdale</t>
  </si>
  <si>
    <t>Florida</t>
  </si>
  <si>
    <t>FUR-TA-10000577</t>
  </si>
  <si>
    <t>Tables</t>
  </si>
  <si>
    <t>Bretford CR4500 Series Slim Rectangular Table</t>
  </si>
  <si>
    <t>CA-2011-115812</t>
  </si>
  <si>
    <t>6/14/2011</t>
  </si>
  <si>
    <t>BH-11710</t>
  </si>
  <si>
    <t>Brosina Hoffman</t>
  </si>
  <si>
    <t>FUR-FU-10001487</t>
  </si>
  <si>
    <t>Furnishings</t>
  </si>
  <si>
    <t>Eldon Expressions Wood and Plastic Desk Accessories, Cherry Wood</t>
  </si>
  <si>
    <t>CA-2014-114412</t>
  </si>
  <si>
    <t>4/21/2014</t>
  </si>
  <si>
    <t>AA-10480</t>
  </si>
  <si>
    <t>Andrew Allen</t>
  </si>
  <si>
    <t>Concord</t>
  </si>
  <si>
    <t>North Carolina</t>
  </si>
  <si>
    <t>OFF-PA-10002365</t>
  </si>
  <si>
    <t>Paper</t>
  </si>
  <si>
    <t>Xerox 1967</t>
  </si>
  <si>
    <t>CA-2013-161389</t>
  </si>
  <si>
    <t>IM-15070</t>
  </si>
  <si>
    <t>Irene Maddox</t>
  </si>
  <si>
    <t>Seattle</t>
  </si>
  <si>
    <t>Washington</t>
  </si>
  <si>
    <t>OFF-BI-10003656</t>
  </si>
  <si>
    <t>Binders</t>
  </si>
  <si>
    <t>Fellowes PB200 Plastic Comb Binding Machine</t>
  </si>
  <si>
    <t>US-2012-118983</t>
  </si>
  <si>
    <t>11/26/2012</t>
  </si>
  <si>
    <t>HP-14815</t>
  </si>
  <si>
    <t>Harold Pawlan</t>
  </si>
  <si>
    <t>Home Office</t>
  </si>
  <si>
    <t>Fort Worth</t>
  </si>
  <si>
    <t>Texas</t>
  </si>
  <si>
    <t>Central</t>
  </si>
  <si>
    <t>OFF-AP-10002311</t>
  </si>
  <si>
    <t>Appliances</t>
  </si>
  <si>
    <t>Holmes Replacement Filter for HEPA Air Cleaner, Very Large Room, HEPA Filter</t>
  </si>
  <si>
    <t>CA-2011-105893</t>
  </si>
  <si>
    <t>11/18/2011</t>
  </si>
  <si>
    <t>PK-19075</t>
  </si>
  <si>
    <t>Pete Kriz</t>
  </si>
  <si>
    <t>Madison</t>
  </si>
  <si>
    <t>Wisconsin</t>
  </si>
  <si>
    <t>OFF-ST-10004186</t>
  </si>
  <si>
    <t>Storage</t>
  </si>
  <si>
    <t>Stur-D-Stor Shelving, Vertical 5-Shelf: 72"H x 36"W x 18 1/2"D</t>
  </si>
  <si>
    <t>CA-2011-167164</t>
  </si>
  <si>
    <t>5/15/2011</t>
  </si>
  <si>
    <t>AG-10270</t>
  </si>
  <si>
    <t>Alejandro Grove</t>
  </si>
  <si>
    <t>West Jordan</t>
  </si>
  <si>
    <t>Utah</t>
  </si>
  <si>
    <t>OFF-ST-10000107</t>
  </si>
  <si>
    <t>Fellowes Super Stor/Drawer</t>
  </si>
  <si>
    <t>CA-2011-143336</t>
  </si>
  <si>
    <t>ZD-21925</t>
  </si>
  <si>
    <t>Zuschuss Donatelli</t>
  </si>
  <si>
    <t>San Francisco</t>
  </si>
  <si>
    <t>OFF-AR-10003056</t>
  </si>
  <si>
    <t>Art</t>
  </si>
  <si>
    <t>Newell 341</t>
  </si>
  <si>
    <t>CA-2013-137330</t>
  </si>
  <si>
    <t>12/14/2013</t>
  </si>
  <si>
    <t>KB-16585</t>
  </si>
  <si>
    <t>Ken Black</t>
  </si>
  <si>
    <t>Fremont</t>
  </si>
  <si>
    <t>Nebraska</t>
  </si>
  <si>
    <t>OFF-AR-10000246</t>
  </si>
  <si>
    <t>Newell 318</t>
  </si>
  <si>
    <t>US-2014-156909</t>
  </si>
  <si>
    <t>7/19/2014</t>
  </si>
  <si>
    <t>SF-20065</t>
  </si>
  <si>
    <t>Sandra Flanagan</t>
  </si>
  <si>
    <t>Philadelphia</t>
  </si>
  <si>
    <t>Pennsylvania</t>
  </si>
  <si>
    <t>East</t>
  </si>
  <si>
    <t>FUR-CH-10002774</t>
  </si>
  <si>
    <t>Chairs</t>
  </si>
  <si>
    <t>Global Deluxe Stacking Chair, Gray</t>
  </si>
  <si>
    <t>CA-2012-106320</t>
  </si>
  <si>
    <t>9/30/2012</t>
  </si>
  <si>
    <t>EB-13870</t>
  </si>
  <si>
    <t>Emily Burns</t>
  </si>
  <si>
    <t>Orem</t>
  </si>
  <si>
    <t>OFF-BI-10001634</t>
  </si>
  <si>
    <t>CA-2013-121755</t>
  </si>
  <si>
    <t>1/20/2013</t>
  </si>
  <si>
    <t>EH-13945</t>
  </si>
  <si>
    <t>Eric Hoffmann</t>
  </si>
  <si>
    <t>FUR-BO-10004834</t>
  </si>
  <si>
    <t>Wilson Jones Active Use Binders</t>
  </si>
  <si>
    <t>US-2012-150630</t>
  </si>
  <si>
    <t>9/21/2012</t>
  </si>
  <si>
    <t>TB-21520</t>
  </si>
  <si>
    <t>Tracy Blumstein</t>
  </si>
  <si>
    <t>OFF-PA-10000249</t>
  </si>
  <si>
    <t>Riverside Palais Royal Lawyers Bookcase, Royale Cherry Finish</t>
  </si>
  <si>
    <t>CA-2014-107727</t>
  </si>
  <si>
    <t>10/24/2014</t>
  </si>
  <si>
    <t>MA-17560</t>
  </si>
  <si>
    <t>Matt Abelman</t>
  </si>
  <si>
    <t>Houston</t>
  </si>
  <si>
    <t>TEC-PH-10004977</t>
  </si>
  <si>
    <t>Staples</t>
  </si>
  <si>
    <t>CA-2013-117590</t>
  </si>
  <si>
    <t>First Class</t>
  </si>
  <si>
    <t>GH-14485</t>
  </si>
  <si>
    <t>Gene Hale</t>
  </si>
  <si>
    <t>Richardson</t>
  </si>
  <si>
    <t>OFF-EN-10002986</t>
  </si>
  <si>
    <t>Technology</t>
  </si>
  <si>
    <t>Phones</t>
  </si>
  <si>
    <t>GE 30524EE4</t>
  </si>
  <si>
    <t>CA-2012-117415</t>
  </si>
  <si>
    <t>12/31/2012</t>
  </si>
  <si>
    <t>SN-20710</t>
  </si>
  <si>
    <t>Steve Nguyen</t>
  </si>
  <si>
    <t>TEC-PH-10004093</t>
  </si>
  <si>
    <t>Envelopes</t>
  </si>
  <si>
    <t>#10-4 1/8" x 9 1/2" Premium Diagonal Seam Envelopes</t>
  </si>
  <si>
    <t>CA-2014-120999</t>
  </si>
  <si>
    <t>9/16/2014</t>
  </si>
  <si>
    <t>LC-16930</t>
  </si>
  <si>
    <t>Linda Cazamias</t>
  </si>
  <si>
    <t>Naperville</t>
  </si>
  <si>
    <t>Illinois</t>
  </si>
  <si>
    <t>OFF-ST-10003479</t>
  </si>
  <si>
    <t>Panasonic Kx-TS550</t>
  </si>
  <si>
    <t>CA-2013-101343</t>
  </si>
  <si>
    <t>7/23/2013</t>
  </si>
  <si>
    <t>RA-19885</t>
  </si>
  <si>
    <t>Ruben Ausman</t>
  </si>
  <si>
    <t>OFF-ST-10003282</t>
  </si>
  <si>
    <t>Eldon Base for stackable storage shelf, platinum</t>
  </si>
  <si>
    <t>CA-2014-139619</t>
  </si>
  <si>
    <t>9/24/2014</t>
  </si>
  <si>
    <t>ES-14080</t>
  </si>
  <si>
    <t>Erin Smith</t>
  </si>
  <si>
    <t>Melbourne</t>
  </si>
  <si>
    <t>TEC-AC-10000171</t>
  </si>
  <si>
    <t>Advantus 10-Drawer Portable Organizer, Chrome Metal Frame, Smoke Drawers</t>
  </si>
  <si>
    <t>CA-2013-118255</t>
  </si>
  <si>
    <t>3/14/2013</t>
  </si>
  <si>
    <t>ON-18715</t>
  </si>
  <si>
    <t>Odella Nelson</t>
  </si>
  <si>
    <t>Eagan</t>
  </si>
  <si>
    <t>Minnesota</t>
  </si>
  <si>
    <t>OFF-ST-10001713</t>
  </si>
  <si>
    <t>Accessories</t>
  </si>
  <si>
    <t>Verbatim 25 GB 6x Blu-ray Single Layer Recordable Disc, 25/Pack</t>
  </si>
  <si>
    <t>CA-2011-146703</t>
  </si>
  <si>
    <t>10/25/2011</t>
  </si>
  <si>
    <t>PO-18865</t>
  </si>
  <si>
    <t>Patrick O'Donnell</t>
  </si>
  <si>
    <t>Westland</t>
  </si>
  <si>
    <t>Michigan</t>
  </si>
  <si>
    <t>TEC-AC-10002167</t>
  </si>
  <si>
    <t>Gould Plastics 9-Pocket Panel Bin, 18-3/8w x 5-1/4d x 20-1/2h, Black</t>
  </si>
  <si>
    <t>CA-2013-169194</t>
  </si>
  <si>
    <t>6/26/2013</t>
  </si>
  <si>
    <t>LH-16900</t>
  </si>
  <si>
    <t>Lena Hernandez</t>
  </si>
  <si>
    <t>Dover</t>
  </si>
  <si>
    <t>Delaware</t>
  </si>
  <si>
    <t>OFF-BI-10004410</t>
  </si>
  <si>
    <t>Imation 8gb Micro Traveldrive Usb 2.0 Flash Drive</t>
  </si>
  <si>
    <t>CA-2012-115742</t>
  </si>
  <si>
    <t>4/22/2012</t>
  </si>
  <si>
    <t>DP-13000</t>
  </si>
  <si>
    <t>Darren Powers</t>
  </si>
  <si>
    <t>New Albany</t>
  </si>
  <si>
    <t>Indiana</t>
  </si>
  <si>
    <t>OFF-FA-10000304</t>
  </si>
  <si>
    <t>C-Line Peel &amp; Stick Add-On Filing Pockets, 8-3/4 x 5-1/8, 10/Pack</t>
  </si>
  <si>
    <t>CA-2013-105816</t>
  </si>
  <si>
    <t>12/18/2013</t>
  </si>
  <si>
    <t>JM-15265</t>
  </si>
  <si>
    <t>Janet Molinari</t>
  </si>
  <si>
    <t>New York City</t>
  </si>
  <si>
    <t>New York</t>
  </si>
  <si>
    <t>OFF-ST-10000604</t>
  </si>
  <si>
    <t>Fasteners</t>
  </si>
  <si>
    <t>Advantus Push Pins</t>
  </si>
  <si>
    <t>CA-2013-111682</t>
  </si>
  <si>
    <t>6/19/2013</t>
  </si>
  <si>
    <t>TB-21055</t>
  </si>
  <si>
    <t>Ted Butterfield</t>
  </si>
  <si>
    <t>Troy</t>
  </si>
  <si>
    <t>TEC-AC-10004633</t>
  </si>
  <si>
    <t>Home/Office Personal File Carts</t>
  </si>
  <si>
    <t>CA-2012-135545</t>
  </si>
  <si>
    <t>11/30/2012</t>
  </si>
  <si>
    <t>KM-16720</t>
  </si>
  <si>
    <t>Kunst Miller</t>
  </si>
  <si>
    <t>FUR-CH-10001146</t>
  </si>
  <si>
    <t>Verbatim 25 GB 6x Blu-ray Single Layer Recordable Disc, 3/Pack</t>
  </si>
  <si>
    <t>US-2012-164175</t>
  </si>
  <si>
    <t>PS-18970</t>
  </si>
  <si>
    <t>Paul Stevenson</t>
  </si>
  <si>
    <t>Chicago</t>
  </si>
  <si>
    <t>OFF-AR-10002671</t>
  </si>
  <si>
    <t>Global Value Mid-Back Manager's Chair, Gray</t>
  </si>
  <si>
    <t>CA-2011-106376</t>
  </si>
  <si>
    <t>BS-11590</t>
  </si>
  <si>
    <t>Brendan Sweed</t>
  </si>
  <si>
    <t>Gilbert</t>
  </si>
  <si>
    <t>Arizona</t>
  </si>
  <si>
    <t>OFF-PA-10000482</t>
  </si>
  <si>
    <t>Hunt BOSTON Model 1606 High-Volume Electric Pencil Sharpener, Beige</t>
  </si>
  <si>
    <t>CA-2013-119823</t>
  </si>
  <si>
    <t>KD-16270</t>
  </si>
  <si>
    <t>Karen Daniels</t>
  </si>
  <si>
    <t>Springfield</t>
  </si>
  <si>
    <t>Virginia</t>
  </si>
  <si>
    <t>OFF-BI-10004654</t>
  </si>
  <si>
    <t>Snap-A-Way Black Print Carbonless Ruled Speed Letter, Triplicate</t>
  </si>
  <si>
    <t>CA-2013-106075</t>
  </si>
  <si>
    <t>9/24/2013</t>
  </si>
  <si>
    <t>HM-14980</t>
  </si>
  <si>
    <t>Henry Macallister</t>
  </si>
  <si>
    <t>OFF-PA-10004675</t>
  </si>
  <si>
    <t>Avery Binding System Hidden Tab Executive Style Index Sets</t>
  </si>
  <si>
    <t>CA-2014-114440</t>
  </si>
  <si>
    <t>9/18/2014</t>
  </si>
  <si>
    <t>Jackson</t>
  </si>
  <si>
    <t>FUR-CH-10000513</t>
  </si>
  <si>
    <t>Telephone Message Books with Fax/Mobile Section, 5 1/2" x 3 3/16"</t>
  </si>
  <si>
    <t>US-2012-134026</t>
  </si>
  <si>
    <t>JE-15745</t>
  </si>
  <si>
    <t>Joel Eaton</t>
  </si>
  <si>
    <t>Memphis</t>
  </si>
  <si>
    <t>Tennessee</t>
  </si>
  <si>
    <t>OFF-BI-10004182</t>
  </si>
  <si>
    <t>High-Back Leather Manager's Chair</t>
  </si>
  <si>
    <t>US-2014-118038</t>
  </si>
  <si>
    <t>KB-16600</t>
  </si>
  <si>
    <t>Ken Brennan</t>
  </si>
  <si>
    <t>FUR-FU-10003194</t>
  </si>
  <si>
    <t>Economy Binders</t>
  </si>
  <si>
    <t>US-2011-147606</t>
  </si>
  <si>
    <t>OFF-AP-10002118</t>
  </si>
  <si>
    <t>Eldon Expressions Desk Accessory, Wood Pencil Holder, Oak</t>
  </si>
  <si>
    <t>CA-2013-127208</t>
  </si>
  <si>
    <t>6/16/2013</t>
  </si>
  <si>
    <t>SC-20770</t>
  </si>
  <si>
    <t>Stewart Carmichael</t>
  </si>
  <si>
    <t>Decatur</t>
  </si>
  <si>
    <t>Alabama</t>
  </si>
  <si>
    <t>OFF-AR-10002053</t>
  </si>
  <si>
    <t>1.7 Cubic Foot Compact "Cube" Office Refrigerators</t>
  </si>
  <si>
    <t>CA-2011-139451</t>
  </si>
  <si>
    <t>10/16/2011</t>
  </si>
  <si>
    <t>DN-13690</t>
  </si>
  <si>
    <t>Duane Noonan</t>
  </si>
  <si>
    <t>OFF-EN-10000927</t>
  </si>
  <si>
    <t>Premium Writing Pencils, Soft, #2 by Central Association for the Blind</t>
  </si>
  <si>
    <t>CA-2012-149734</t>
  </si>
  <si>
    <t>JC-16105</t>
  </si>
  <si>
    <t>Julie Creighton</t>
  </si>
  <si>
    <t>Durham</t>
  </si>
  <si>
    <t>OFF-ST-10003656</t>
  </si>
  <si>
    <t>Jet-Pak Recycled Peel 'N' Seal Padded Mailers</t>
  </si>
  <si>
    <t>US-2014-119662</t>
  </si>
  <si>
    <t>11/17/2014</t>
  </si>
  <si>
    <t>CS-12400</t>
  </si>
  <si>
    <t>Christopher Schild</t>
  </si>
  <si>
    <t>FUR-CH-10000863</t>
  </si>
  <si>
    <t>Safco Industrial Wire Shelving</t>
  </si>
  <si>
    <t>CA-2014-140088</t>
  </si>
  <si>
    <t>5/31/2014</t>
  </si>
  <si>
    <t>Columbia</t>
  </si>
  <si>
    <t>South Carolina</t>
  </si>
  <si>
    <t>TEC-AC-10001998</t>
  </si>
  <si>
    <t>Novimex Swivel Fabric Task Chair</t>
  </si>
  <si>
    <t>CA-2014-155558</t>
  </si>
  <si>
    <t>PG-18895</t>
  </si>
  <si>
    <t>Paul Gonzalez</t>
  </si>
  <si>
    <t>Rochester</t>
  </si>
  <si>
    <t>OFF-ST-10003442</t>
  </si>
  <si>
    <t>Logitech LS21 Speaker System - PC Multimedia - 2.1-CH - Wired</t>
  </si>
  <si>
    <t>CA-2013-159695</t>
  </si>
  <si>
    <t>GM-14455</t>
  </si>
  <si>
    <t>Gary Mitchum</t>
  </si>
  <si>
    <t>OFF-AR-10004930</t>
  </si>
  <si>
    <t>Eldon Portable Mobile Manager</t>
  </si>
  <si>
    <t>CA-2013-109806</t>
  </si>
  <si>
    <t>9/23/2013</t>
  </si>
  <si>
    <t>JS-15685</t>
  </si>
  <si>
    <t>Jim Sink</t>
  </si>
  <si>
    <t>OFF-PA-10003177</t>
  </si>
  <si>
    <t>Turquoise Lead Holder with Pocket Clip</t>
  </si>
  <si>
    <t>CA-2012-149587</t>
  </si>
  <si>
    <t>KB-16315</t>
  </si>
  <si>
    <t>Karl Braun</t>
  </si>
  <si>
    <t>Minneapolis</t>
  </si>
  <si>
    <t>OFF-BI-10004738</t>
  </si>
  <si>
    <t>Xerox 1999</t>
  </si>
  <si>
    <t>US-2014-109484</t>
  </si>
  <si>
    <t>11/13/2014</t>
  </si>
  <si>
    <t>RB-19705</t>
  </si>
  <si>
    <t>Roger Barcio</t>
  </si>
  <si>
    <t>Portland</t>
  </si>
  <si>
    <t>Oregon</t>
  </si>
  <si>
    <t>FUR-FU-10000629</t>
  </si>
  <si>
    <t>Flexible Leather- Look Classic Collection Ring Binder</t>
  </si>
  <si>
    <t>CA-2014-161018</t>
  </si>
  <si>
    <t>PN-18775</t>
  </si>
  <si>
    <t>Parhena Norris</t>
  </si>
  <si>
    <t>OFF-BI-10001721</t>
  </si>
  <si>
    <t>9-3/4 Diameter Round Wall Clock</t>
  </si>
  <si>
    <t>CA-2014-157833</t>
  </si>
  <si>
    <t>6/21/2014</t>
  </si>
  <si>
    <t>KD-16345</t>
  </si>
  <si>
    <t>Katherine Ducich</t>
  </si>
  <si>
    <t>OFF-AP-10000358</t>
  </si>
  <si>
    <t>Trimflex Flexible Post Binders</t>
  </si>
  <si>
    <t>Month</t>
  </si>
  <si>
    <t>Year</t>
  </si>
  <si>
    <t xml:space="preserve">1) Sales by category </t>
  </si>
  <si>
    <t>Sum of Sales</t>
  </si>
  <si>
    <t>Grand Total</t>
  </si>
  <si>
    <t xml:space="preserve">2) Profit  by  Category </t>
  </si>
  <si>
    <t>Sum of Profit</t>
  </si>
  <si>
    <t>3) Sales By Region</t>
  </si>
  <si>
    <t>4) Sales  By  Month</t>
  </si>
  <si>
    <t>Sep</t>
  </si>
  <si>
    <t>Oct</t>
  </si>
  <si>
    <t xml:space="preserve">5) Discount VS  Profit </t>
  </si>
  <si>
    <t>1)  Furniture category has the highest total sales.</t>
  </si>
  <si>
    <t>2)Office Supplies category generates the highest profit, while Furniture category is loss-making. Although Furniture has the highest sales, it is generating losses, which indicates poor profitability.Although Furniture has the highest sales, it is generating losses, which indicates poor profitability.</t>
  </si>
  <si>
    <t>3) East region contributes the highest sales among all regions.</t>
  </si>
  <si>
    <t>4) Sales peak in September, indicating higher performance during this month.</t>
  </si>
  <si>
    <t>5) I analyzed the relationship between discount and profit and found that higher discounts reduce overall profitability.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</si>
</sst>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quot;₹&quot;\ * #,##0.00_ ;_ &quot;₹&quot;\ * \-#,##0.00_ ;_ &quot;₹&quot;\ * &quot;-&quot;??_ ;_ @_ "/>
    <numFmt numFmtId="164" formatCode="&quot;₹&quot;\ #,##0.00"/>
  </numFmts>
  <fonts count="6">
    <font>
      <sz val="11"/>
      <color theme="1"/>
      <name val="Calibri"/>
      <charset val="134"/>
      <scheme val="minor"/>
    </font>
    <font>
      <b/>
      <u/>
      <sz val="14"/>
      <color theme="1"/>
      <name val="Calibri"/>
      <charset val="134"/>
      <scheme val="minor"/>
    </font>
    <font>
      <sz val="12"/>
      <color theme="1"/>
      <name val="Calibri"/>
      <charset val="134"/>
      <scheme val="minor"/>
    </font>
    <font>
      <sz val="11"/>
      <color indexed="8"/>
      <name val="Calibri"/>
      <charset val="134"/>
    </font>
    <font>
      <sz val="12"/>
      <color indexed="8"/>
      <name val="Calibri"/>
      <charset val="134"/>
    </font>
    <font>
      <sz val="12"/>
      <color theme="1"/>
      <name val="Calibri"/>
      <family val="2"/>
      <scheme val="minor"/>
    </font>
  </fonts>
  <fills count="6">
    <fill>
      <patternFill patternType="none"/>
    </fill>
    <fill>
      <patternFill patternType="gray125"/>
    </fill>
    <fill>
      <patternFill patternType="solid">
        <fgColor rgb="FFFFFF00"/>
        <bgColor indexed="64"/>
      </patternFill>
    </fill>
    <fill>
      <patternFill patternType="solid">
        <fgColor rgb="FF5B9BD5"/>
        <bgColor indexed="64"/>
      </patternFill>
    </fill>
    <fill>
      <patternFill patternType="solid">
        <fgColor rgb="FFDEEAF6"/>
        <bgColor indexed="64"/>
      </patternFill>
    </fill>
    <fill>
      <patternFill patternType="solid">
        <fgColor indexed="65"/>
        <bgColor indexed="64"/>
      </patternFill>
    </fill>
  </fills>
  <borders count="8">
    <border>
      <left/>
      <right/>
      <top/>
      <bottom/>
      <diagonal/>
    </border>
    <border>
      <left style="thin">
        <color auto="1"/>
      </left>
      <right style="thin">
        <color auto="1"/>
      </right>
      <top style="thin">
        <color auto="1"/>
      </top>
      <bottom style="thin">
        <color auto="1"/>
      </bottom>
      <diagonal/>
    </border>
    <border>
      <left style="medium">
        <color rgb="FFCCCCCC"/>
      </left>
      <right style="medium">
        <color rgb="FFCCCCCC"/>
      </right>
      <top style="medium">
        <color rgb="FFCCCCCC"/>
      </top>
      <bottom style="medium">
        <color rgb="FFCCCCCC"/>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style="thin">
        <color auto="1"/>
      </right>
      <top style="thin">
        <color theme="0"/>
      </top>
      <bottom/>
      <diagonal/>
    </border>
  </borders>
  <cellStyleXfs count="1">
    <xf numFmtId="0" fontId="0" fillId="0" borderId="0"/>
  </cellStyleXfs>
  <cellXfs count="39">
    <xf numFmtId="0" fontId="0" fillId="0" borderId="0" xfId="0"/>
    <xf numFmtId="0" fontId="1" fillId="2" borderId="1" xfId="0" applyFont="1" applyFill="1" applyBorder="1"/>
    <xf numFmtId="0" fontId="0" fillId="2" borderId="1" xfId="0" applyFill="1" applyBorder="1"/>
    <xf numFmtId="0" fontId="0" fillId="0" borderId="1" xfId="0" applyBorder="1"/>
    <xf numFmtId="0" fontId="2" fillId="0" borderId="1" xfId="0" applyFont="1" applyBorder="1"/>
    <xf numFmtId="0" fontId="2" fillId="0" borderId="1" xfId="0" applyFont="1" applyBorder="1" applyAlignment="1">
      <alignment horizontal="left"/>
    </xf>
    <xf numFmtId="0" fontId="1" fillId="2" borderId="1" xfId="0" applyFont="1" applyFill="1" applyBorder="1" applyAlignment="1">
      <alignment horizontal="left"/>
    </xf>
    <xf numFmtId="0" fontId="3" fillId="0" borderId="0" xfId="0" applyFont="1"/>
    <xf numFmtId="2" fontId="3" fillId="0" borderId="0" xfId="0" applyNumberFormat="1" applyFont="1"/>
    <xf numFmtId="14" fontId="3" fillId="0" borderId="0" xfId="0" applyNumberFormat="1" applyFont="1"/>
    <xf numFmtId="164" fontId="3" fillId="0" borderId="0" xfId="0" applyNumberFormat="1" applyFont="1"/>
    <xf numFmtId="10" fontId="3" fillId="0" borderId="0" xfId="0" applyNumberFormat="1" applyFont="1"/>
    <xf numFmtId="44" fontId="3" fillId="0" borderId="0" xfId="0" applyNumberFormat="1" applyFont="1"/>
    <xf numFmtId="0" fontId="4" fillId="3" borderId="2" xfId="0" applyFont="1" applyFill="1" applyBorder="1" applyAlignment="1">
      <alignment wrapText="1"/>
    </xf>
    <xf numFmtId="2" fontId="4" fillId="3" borderId="2" xfId="0" applyNumberFormat="1" applyFont="1" applyFill="1" applyBorder="1" applyAlignment="1">
      <alignment wrapText="1"/>
    </xf>
    <xf numFmtId="14" fontId="4" fillId="3" borderId="2" xfId="0" applyNumberFormat="1" applyFont="1" applyFill="1" applyBorder="1" applyAlignment="1">
      <alignment wrapText="1"/>
    </xf>
    <xf numFmtId="0" fontId="3" fillId="4" borderId="2" xfId="0" applyFont="1" applyFill="1" applyBorder="1" applyAlignment="1">
      <alignment horizontal="right" wrapText="1"/>
    </xf>
    <xf numFmtId="0" fontId="3" fillId="4" borderId="2" xfId="0" applyFont="1" applyFill="1" applyBorder="1" applyAlignment="1">
      <alignment wrapText="1"/>
    </xf>
    <xf numFmtId="2" fontId="3" fillId="4" borderId="2" xfId="0" applyNumberFormat="1" applyFont="1" applyFill="1" applyBorder="1" applyAlignment="1">
      <alignment wrapText="1"/>
    </xf>
    <xf numFmtId="14" fontId="3" fillId="4" borderId="2" xfId="0" applyNumberFormat="1" applyFont="1" applyFill="1" applyBorder="1" applyAlignment="1">
      <alignment horizontal="right" wrapText="1"/>
    </xf>
    <xf numFmtId="164" fontId="4" fillId="3" borderId="2" xfId="0" applyNumberFormat="1" applyFont="1" applyFill="1" applyBorder="1" applyAlignment="1">
      <alignment wrapText="1"/>
    </xf>
    <xf numFmtId="10" fontId="4" fillId="3" borderId="2" xfId="0" applyNumberFormat="1" applyFont="1" applyFill="1" applyBorder="1" applyAlignment="1">
      <alignment wrapText="1"/>
    </xf>
    <xf numFmtId="44" fontId="4" fillId="3" borderId="2" xfId="0" applyNumberFormat="1" applyFont="1" applyFill="1" applyBorder="1" applyAlignment="1">
      <alignment wrapText="1"/>
    </xf>
    <xf numFmtId="164" fontId="3" fillId="4" borderId="2" xfId="0" applyNumberFormat="1" applyFont="1" applyFill="1" applyBorder="1" applyAlignment="1">
      <alignment horizontal="right" wrapText="1"/>
    </xf>
    <xf numFmtId="10" fontId="3" fillId="4" borderId="2" xfId="0" applyNumberFormat="1" applyFont="1" applyFill="1" applyBorder="1" applyAlignment="1">
      <alignment horizontal="right" wrapText="1"/>
    </xf>
    <xf numFmtId="44" fontId="3" fillId="4" borderId="2" xfId="0" applyNumberFormat="1" applyFont="1" applyFill="1" applyBorder="1" applyAlignment="1">
      <alignment horizontal="right" wrapText="1"/>
    </xf>
    <xf numFmtId="0" fontId="2" fillId="0" borderId="3" xfId="0" applyFont="1" applyBorder="1"/>
    <xf numFmtId="0" fontId="2" fillId="0" borderId="4" xfId="0" applyFont="1" applyBorder="1"/>
    <xf numFmtId="0" fontId="2" fillId="0" borderId="5" xfId="0" applyFont="1" applyBorder="1"/>
    <xf numFmtId="0" fontId="2" fillId="0" borderId="1" xfId="0" pivotButton="1" applyFont="1" applyBorder="1"/>
    <xf numFmtId="0" fontId="2" fillId="0" borderId="6" xfId="0" applyFont="1" applyBorder="1"/>
    <xf numFmtId="0" fontId="2" fillId="0" borderId="4" xfId="0" applyFont="1" applyBorder="1" applyAlignment="1">
      <alignment horizontal="left"/>
    </xf>
    <xf numFmtId="0" fontId="2" fillId="0" borderId="5" xfId="0" applyFont="1" applyBorder="1" applyAlignment="1">
      <alignment horizontal="left"/>
    </xf>
    <xf numFmtId="0" fontId="0" fillId="5" borderId="7" xfId="0" applyFill="1" applyBorder="1"/>
    <xf numFmtId="0" fontId="5" fillId="0" borderId="3" xfId="0" applyFont="1" applyBorder="1"/>
    <xf numFmtId="0" fontId="5" fillId="0" borderId="4" xfId="0" applyFont="1" applyBorder="1"/>
    <xf numFmtId="0" fontId="5" fillId="0" borderId="5" xfId="0" applyFont="1" applyBorder="1"/>
    <xf numFmtId="0" fontId="5" fillId="0" borderId="1" xfId="0" pivotButton="1" applyFont="1" applyBorder="1"/>
    <xf numFmtId="0" fontId="5" fillId="0" borderId="1" xfId="0" applyFont="1" applyBorder="1" applyAlignment="1">
      <alignment horizontal="left"/>
    </xf>
  </cellXfs>
  <cellStyles count="1">
    <cellStyle name="Normal" xfId="0" builtinId="0"/>
  </cellStyles>
  <dxfs count="61">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alignment wrapText="1"/>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[Retail Sales Analysis and Dashboard using Excel.xlsx]EDA!PivotTable13</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Category </a:t>
            </a:r>
            <a:endParaRPr lang="en-US"/>
          </a:p>
        </c:rich>
      </c:tx>
      <c:layout>
        <c:manualLayout>
          <c:xMode val="edge"/>
          <c:yMode val="edge"/>
          <c:x val="0.38626745186263484"/>
          <c:y val="6.268927922471230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EDA!$B$3</c:f>
              <c:strCache>
                <c:ptCount val="1"/>
                <c:pt idx="0">
                  <c:v>Total</c:v>
                </c:pt>
              </c:strCache>
            </c:strRef>
          </c:tx>
          <c:spPr>
            <a:solidFill>
              <a:schemeClr val="accent4"/>
            </a:solidFill>
            <a:ln>
              <a:noFill/>
            </a:ln>
            <a:effectLst/>
            <a:sp3d/>
          </c:spPr>
          <c:invertIfNegative val="0"/>
          <c:cat>
            <c:strRef>
              <c:f>EDA!$A$4:$A$5</c:f>
              <c:strCache>
                <c:ptCount val="1"/>
                <c:pt idx="0">
                  <c:v>Office Supplies</c:v>
                </c:pt>
              </c:strCache>
            </c:strRef>
          </c:cat>
          <c:val>
            <c:numRef>
              <c:f>EDA!$B$4:$B$5</c:f>
              <c:numCache>
                <c:formatCode>General</c:formatCode>
                <c:ptCount val="1"/>
                <c:pt idx="0">
                  <c:v>395.20799999999997</c:v>
                </c:pt>
              </c:numCache>
            </c:numRef>
          </c:val>
          <c:extLst>
            <c:ext xmlns:c16="http://schemas.microsoft.com/office/drawing/2014/chart" uri="{C3380CC4-5D6E-409C-BE32-E72D297353CC}">
              <c16:uniqueId val="{00000000-AEFB-4126-A84C-CC353889D8E7}"/>
            </c:ext>
          </c:extLst>
        </c:ser>
        <c:dLbls>
          <c:showLegendKey val="0"/>
          <c:showVal val="0"/>
          <c:showCatName val="0"/>
          <c:showSerName val="0"/>
          <c:showPercent val="0"/>
          <c:showBubbleSize val="0"/>
        </c:dLbls>
        <c:gapWidth val="150"/>
        <c:shape val="box"/>
        <c:axId val="1333304992"/>
        <c:axId val="1333323232"/>
        <c:axId val="0"/>
      </c:bar3DChart>
      <c:catAx>
        <c:axId val="13333049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3323232"/>
        <c:crosses val="autoZero"/>
        <c:auto val="1"/>
        <c:lblAlgn val="ctr"/>
        <c:lblOffset val="100"/>
        <c:noMultiLvlLbl val="0"/>
      </c:catAx>
      <c:valAx>
        <c:axId val="133332323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33049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[Retail Sales Analysis and Dashboard using Excel.xlsx]EDA!PivotTable17</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Month</a:t>
            </a:r>
          </a:p>
        </c:rich>
      </c:tx>
      <c:layout>
        <c:manualLayout>
          <c:xMode val="edge"/>
          <c:yMode val="edge"/>
          <c:x val="0.33970663068645401"/>
          <c:y val="6.027471653825635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773243039276577"/>
          <c:y val="0.29933200721489273"/>
          <c:w val="0.64488790046282385"/>
          <c:h val="0.43469327344104552"/>
        </c:manualLayout>
      </c:layout>
      <c:lineChart>
        <c:grouping val="standard"/>
        <c:varyColors val="0"/>
        <c:ser>
          <c:idx val="0"/>
          <c:order val="0"/>
          <c:tx>
            <c:strRef>
              <c:f>EDA!$B$34</c:f>
              <c:strCache>
                <c:ptCount val="1"/>
                <c:pt idx="0">
                  <c:v>Total</c:v>
                </c:pt>
              </c:strCache>
            </c:strRef>
          </c:tx>
          <c:spPr>
            <a:ln w="28575" cap="rnd">
              <a:solidFill>
                <a:schemeClr val="accent4"/>
              </a:solidFill>
              <a:round/>
            </a:ln>
            <a:effectLst/>
          </c:spPr>
          <c:marker>
            <c:symbol val="none"/>
          </c:marker>
          <c:cat>
            <c:strRef>
              <c:f>EDA!$A$35:$A$37</c:f>
              <c:strCache>
                <c:ptCount val="2"/>
                <c:pt idx="0">
                  <c:v>Sep</c:v>
                </c:pt>
                <c:pt idx="1">
                  <c:v>Oct</c:v>
                </c:pt>
              </c:strCache>
            </c:strRef>
          </c:cat>
          <c:val>
            <c:numRef>
              <c:f>EDA!$B$35:$B$37</c:f>
              <c:numCache>
                <c:formatCode>General</c:formatCode>
                <c:ptCount val="2"/>
                <c:pt idx="0">
                  <c:v>8201.2274999999991</c:v>
                </c:pt>
                <c:pt idx="1">
                  <c:v>4274.067</c:v>
                </c:pt>
              </c:numCache>
            </c:numRef>
          </c:val>
          <c:smooth val="0"/>
          <c:extLst>
            <c:ext xmlns:c16="http://schemas.microsoft.com/office/drawing/2014/chart" uri="{C3380CC4-5D6E-409C-BE32-E72D297353CC}">
              <c16:uniqueId val="{00000000-D36C-4605-A2C4-31BA587E3B0E}"/>
            </c:ext>
          </c:extLst>
        </c:ser>
        <c:dLbls>
          <c:showLegendKey val="0"/>
          <c:showVal val="0"/>
          <c:showCatName val="0"/>
          <c:showSerName val="0"/>
          <c:showPercent val="0"/>
          <c:showBubbleSize val="0"/>
        </c:dLbls>
        <c:smooth val="0"/>
        <c:axId val="1333298752"/>
        <c:axId val="1333301152"/>
      </c:lineChart>
      <c:catAx>
        <c:axId val="133329875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3301152"/>
        <c:crosses val="autoZero"/>
        <c:auto val="1"/>
        <c:lblAlgn val="ctr"/>
        <c:lblOffset val="100"/>
        <c:noMultiLvlLbl val="0"/>
      </c:catAx>
      <c:valAx>
        <c:axId val="13333011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32987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[Retail Sales Analysis and Dashboard using Excel.xlsx]EDA!PivotTable15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Region</a:t>
            </a:r>
          </a:p>
        </c:rich>
      </c:tx>
      <c:layout>
        <c:manualLayout>
          <c:xMode val="edge"/>
          <c:yMode val="edge"/>
          <c:x val="0.28336618518711654"/>
          <c:y val="5.291005291005290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EDA!$B$23</c:f>
              <c:strCache>
                <c:ptCount val="1"/>
                <c:pt idx="0">
                  <c:v>Total</c:v>
                </c:pt>
              </c:strCache>
            </c:strRef>
          </c:tx>
          <c:spPr>
            <a:solidFill>
              <a:schemeClr val="accent4"/>
            </a:solidFill>
            <a:ln>
              <a:noFill/>
            </a:ln>
            <a:effectLst/>
            <a:sp3d/>
          </c:spPr>
          <c:invertIfNegative val="0"/>
          <c:cat>
            <c:strRef>
              <c:f>EDA!$A$24:$A$25</c:f>
              <c:strCache>
                <c:ptCount val="1"/>
                <c:pt idx="0">
                  <c:v>South</c:v>
                </c:pt>
              </c:strCache>
            </c:strRef>
          </c:cat>
          <c:val>
            <c:numRef>
              <c:f>EDA!$B$24:$B$25</c:f>
              <c:numCache>
                <c:formatCode>General</c:formatCode>
                <c:ptCount val="1"/>
                <c:pt idx="0">
                  <c:v>395.20799999999997</c:v>
                </c:pt>
              </c:numCache>
            </c:numRef>
          </c:val>
          <c:extLst>
            <c:ext xmlns:c16="http://schemas.microsoft.com/office/drawing/2014/chart" uri="{C3380CC4-5D6E-409C-BE32-E72D297353CC}">
              <c16:uniqueId val="{00000000-C7C2-4D9C-B313-DB98CB8C0DC6}"/>
            </c:ext>
          </c:extLst>
        </c:ser>
        <c:dLbls>
          <c:showLegendKey val="0"/>
          <c:showVal val="0"/>
          <c:showCatName val="0"/>
          <c:showSerName val="0"/>
          <c:showPercent val="0"/>
          <c:showBubbleSize val="0"/>
        </c:dLbls>
        <c:gapWidth val="150"/>
        <c:shape val="box"/>
        <c:axId val="1821891152"/>
        <c:axId val="1821892112"/>
        <c:axId val="0"/>
      </c:bar3DChart>
      <c:catAx>
        <c:axId val="18218911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1892112"/>
        <c:crosses val="autoZero"/>
        <c:auto val="1"/>
        <c:lblAlgn val="ctr"/>
        <c:lblOffset val="100"/>
        <c:noMultiLvlLbl val="0"/>
      </c:catAx>
      <c:valAx>
        <c:axId val="18218921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18911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7">
  <a:schemeClr val="accent4"/>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withinLinear" id="17">
  <a:schemeClr val="accent4"/>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500658</xdr:colOff>
      <xdr:row>6</xdr:row>
      <xdr:rowOff>166689</xdr:rowOff>
    </xdr:from>
    <xdr:to>
      <xdr:col>11</xdr:col>
      <xdr:colOff>14288</xdr:colOff>
      <xdr:row>18</xdr:row>
      <xdr:rowOff>1787</xdr:rowOff>
    </xdr:to>
    <xdr:graphicFrame macro="">
      <xdr:nvGraphicFramePr>
        <xdr:cNvPr id="3" name="Chart 2">
          <a:extLst>
            <a:ext uri="{FF2B5EF4-FFF2-40B4-BE49-F238E27FC236}">
              <a16:creationId xmlns:a16="http://schemas.microsoft.com/office/drawing/2014/main" id="{38368807-9B86-466B-BAD8-A2FC84B9F2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516135</xdr:colOff>
      <xdr:row>6</xdr:row>
      <xdr:rowOff>142280</xdr:rowOff>
    </xdr:from>
    <xdr:to>
      <xdr:col>21</xdr:col>
      <xdr:colOff>487560</xdr:colOff>
      <xdr:row>18</xdr:row>
      <xdr:rowOff>15478</xdr:rowOff>
    </xdr:to>
    <xdr:graphicFrame macro="">
      <xdr:nvGraphicFramePr>
        <xdr:cNvPr id="4" name="Chart 3">
          <a:extLst>
            <a:ext uri="{FF2B5EF4-FFF2-40B4-BE49-F238E27FC236}">
              <a16:creationId xmlns:a16="http://schemas.microsoft.com/office/drawing/2014/main" id="{5A11CD90-5A21-49C8-84ED-B6A519CBBC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408981</xdr:colOff>
      <xdr:row>6</xdr:row>
      <xdr:rowOff>143471</xdr:rowOff>
    </xdr:from>
    <xdr:to>
      <xdr:col>16</xdr:col>
      <xdr:colOff>142280</xdr:colOff>
      <xdr:row>18</xdr:row>
      <xdr:rowOff>45244</xdr:rowOff>
    </xdr:to>
    <xdr:graphicFrame macro="">
      <xdr:nvGraphicFramePr>
        <xdr:cNvPr id="5" name="Chart 4">
          <a:extLst>
            <a:ext uri="{FF2B5EF4-FFF2-40B4-BE49-F238E27FC236}">
              <a16:creationId xmlns:a16="http://schemas.microsoft.com/office/drawing/2014/main" id="{6196A45F-F956-41D6-ACA5-15B21C45D0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4</xdr:row>
      <xdr:rowOff>1</xdr:rowOff>
    </xdr:from>
    <xdr:to>
      <xdr:col>2</xdr:col>
      <xdr:colOff>608409</xdr:colOff>
      <xdr:row>13</xdr:row>
      <xdr:rowOff>14884</xdr:rowOff>
    </xdr:to>
    <mc:AlternateContent xmlns:mc="http://schemas.openxmlformats.org/markup-compatibility/2006" xmlns:a14="http://schemas.microsoft.com/office/drawing/2010/main">
      <mc:Choice Requires="a14">
        <xdr:graphicFrame macro="">
          <xdr:nvGraphicFramePr>
            <xdr:cNvPr id="6" name="Year 1">
              <a:extLst>
                <a:ext uri="{FF2B5EF4-FFF2-40B4-BE49-F238E27FC236}">
                  <a16:creationId xmlns:a16="http://schemas.microsoft.com/office/drawing/2014/main" id="{54DE8D89-CE74-4E4A-9435-5F14169BDFCD}"/>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0" y="773907"/>
              <a:ext cx="1828800" cy="17561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14</xdr:row>
      <xdr:rowOff>29767</xdr:rowOff>
    </xdr:from>
    <xdr:to>
      <xdr:col>2</xdr:col>
      <xdr:colOff>608409</xdr:colOff>
      <xdr:row>23</xdr:row>
      <xdr:rowOff>74414</xdr:rowOff>
    </xdr:to>
    <mc:AlternateContent xmlns:mc="http://schemas.openxmlformats.org/markup-compatibility/2006" xmlns:a14="http://schemas.microsoft.com/office/drawing/2010/main">
      <mc:Choice Requires="a14">
        <xdr:graphicFrame macro="">
          <xdr:nvGraphicFramePr>
            <xdr:cNvPr id="7" name="Region 1">
              <a:extLst>
                <a:ext uri="{FF2B5EF4-FFF2-40B4-BE49-F238E27FC236}">
                  <a16:creationId xmlns:a16="http://schemas.microsoft.com/office/drawing/2014/main" id="{38EFA336-57FE-40B1-A068-4D33F2531DF0}"/>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0" y="2738439"/>
              <a:ext cx="1828800" cy="178593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24</xdr:row>
      <xdr:rowOff>119061</xdr:rowOff>
    </xdr:from>
    <xdr:to>
      <xdr:col>2</xdr:col>
      <xdr:colOff>608409</xdr:colOff>
      <xdr:row>37</xdr:row>
      <xdr:rowOff>127991</xdr:rowOff>
    </xdr:to>
    <mc:AlternateContent xmlns:mc="http://schemas.openxmlformats.org/markup-compatibility/2006" xmlns:a14="http://schemas.microsoft.com/office/drawing/2010/main">
      <mc:Choice Requires="a14">
        <xdr:graphicFrame macro="">
          <xdr:nvGraphicFramePr>
            <xdr:cNvPr id="8" name="Category 1">
              <a:extLst>
                <a:ext uri="{FF2B5EF4-FFF2-40B4-BE49-F238E27FC236}">
                  <a16:creationId xmlns:a16="http://schemas.microsoft.com/office/drawing/2014/main" id="{6F3A7392-2D0E-4D3D-A38A-A1BC2E6B49EC}"/>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0" y="4762499"/>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C World" refreshedDate="46106.588895949099" createdVersion="8" refreshedVersion="8" minRefreshableVersion="3" recordCount="49" xr:uid="{00000000-000A-0000-FFFF-FFFF00000000}">
  <cacheSource type="worksheet">
    <worksheetSource ref="A1:W1048576" sheet="Clean_Data"/>
  </cacheSource>
  <cacheFields count="23">
    <cacheField name="Row ID" numFmtId="0">
      <sharedItems containsNonDate="0" containsString="0" containsBlank="1" containsNumber="1" containsInteger="1" minValue="1" maxValue="98"/>
    </cacheField>
    <cacheField name="Order ID" numFmtId="0">
      <sharedItems containsNonDate="0" containsBlank="1"/>
    </cacheField>
    <cacheField name="Month" numFmtId="2">
      <sharedItems containsBlank="1" count="3">
        <s v="Sep"/>
        <s v="Oct"/>
        <m/>
      </sharedItems>
    </cacheField>
    <cacheField name="Year" numFmtId="0">
      <sharedItems containsNonDate="0" containsString="0" containsBlank="1" containsNumber="1" containsInteger="1" minValue="2011" maxValue="2014" count="5">
        <n v="2013"/>
        <n v="2012"/>
        <n v="2011"/>
        <n v="2014"/>
        <m/>
      </sharedItems>
    </cacheField>
    <cacheField name="Order Date" numFmtId="14">
      <sharedItems containsNonDate="0" containsDate="1" containsString="0" containsBlank="1" minDate="2013-09-11T00:00:00" maxDate="2013-10-29T00:00:00"/>
    </cacheField>
    <cacheField name="Ship Date" numFmtId="14">
      <sharedItems containsNonDate="0" containsDate="1" containsString="0" containsBlank="1" minDate="2013-12-11T00:00:00" maxDate="2014-01-28T00:00:00"/>
    </cacheField>
    <cacheField name="Ship Mode" numFmtId="0">
      <sharedItems containsNonDate="0" containsBlank="1"/>
    </cacheField>
    <cacheField name="Customer ID" numFmtId="0">
      <sharedItems containsNonDate="0" containsBlank="1"/>
    </cacheField>
    <cacheField name="Customer_Name" numFmtId="0">
      <sharedItems containsNonDate="0" containsBlank="1"/>
    </cacheField>
    <cacheField name="Segment" numFmtId="0">
      <sharedItems containsNonDate="0" containsBlank="1"/>
    </cacheField>
    <cacheField name="Country" numFmtId="0">
      <sharedItems containsNonDate="0" containsBlank="1"/>
    </cacheField>
    <cacheField name="City" numFmtId="0">
      <sharedItems containsNonDate="0" containsBlank="1"/>
    </cacheField>
    <cacheField name="State" numFmtId="0">
      <sharedItems containsNonDate="0" containsBlank="1"/>
    </cacheField>
    <cacheField name="Postal Code" numFmtId="0">
      <sharedItems containsNonDate="0" containsString="0" containsBlank="1" containsNumber="1" containsInteger="1" minValue="10009" maxValue="98103"/>
    </cacheField>
    <cacheField name="Region" numFmtId="0">
      <sharedItems containsBlank="1" count="5">
        <s v="South"/>
        <s v="West"/>
        <s v="Central"/>
        <s v="East"/>
        <m/>
      </sharedItems>
    </cacheField>
    <cacheField name="Product ID" numFmtId="0">
      <sharedItems containsNonDate="0" containsBlank="1"/>
    </cacheField>
    <cacheField name="Category" numFmtId="0">
      <sharedItems containsBlank="1" count="4">
        <s v="Furniture"/>
        <s v="Office Supplies"/>
        <s v="Technology"/>
        <m/>
      </sharedItems>
    </cacheField>
    <cacheField name="Sub-Category" numFmtId="0">
      <sharedItems containsNonDate="0" containsBlank="1"/>
    </cacheField>
    <cacheField name="Product Name" numFmtId="0">
      <sharedItems containsNonDate="0" containsBlank="1"/>
    </cacheField>
    <cacheField name="Sales" numFmtId="164">
      <sharedItems containsString="0" containsBlank="1" containsNumber="1" minValue="0" maxValue="3083.43" count="49">
        <n v="261.95999999999998"/>
        <n v="14.62"/>
        <n v="957.57749999999999"/>
        <n v="48.86"/>
        <n v="15.552"/>
        <n v="407.976"/>
        <n v="68.81"/>
        <n v="665.88"/>
        <n v="55.5"/>
        <n v="8.56"/>
        <n v="19.46"/>
        <n v="71.372"/>
        <n v="1044.6300000000001"/>
        <n v="11.648"/>
        <n v="3083.43"/>
        <n v="29.472000000000001"/>
        <n v="1097.5440000000001"/>
        <n v="113.328"/>
        <n v="147.16800000000001"/>
        <n v="77.88"/>
        <n v="95.616"/>
        <n v="45.98"/>
        <n v="211.96"/>
        <n v="45"/>
        <n v="38.22"/>
        <n v="15.26"/>
        <n v="208.56"/>
        <n v="13.98"/>
        <n v="213.11500000000001"/>
        <n v="1113.0239999999999"/>
        <n v="75.88"/>
        <n v="4.6159999999999997"/>
        <n v="19.05"/>
        <n v="831.93600000000004"/>
        <n v="1.248"/>
        <n v="19.3"/>
        <n v="208.16"/>
        <n v="14.9"/>
        <n v="200.98400000000001"/>
        <n v="230.376"/>
        <n v="301.95999999999998"/>
        <n v="19.989999999999998"/>
        <n v="158.36799999999999"/>
        <n v="20.100000000000001"/>
        <n v="12.96"/>
        <n v="5.6820000000000004"/>
        <n v="96.53"/>
        <n v="51.311999999999998"/>
        <m/>
      </sharedItems>
    </cacheField>
    <cacheField name="Quantity" numFmtId="0">
      <sharedItems containsNonDate="0" containsString="0" containsBlank="1" containsNumber="1" containsInteger="1" minValue="1" maxValue="9"/>
    </cacheField>
    <cacheField name="Discount" numFmtId="10">
      <sharedItems containsString="0" containsBlank="1" containsNumber="1" minValue="0" maxValue="0.8" count="9">
        <n v="0"/>
        <n v="0.45"/>
        <n v="0.2"/>
        <n v="0.8"/>
        <n v="0.3"/>
        <n v="0.5"/>
        <n v="0.6"/>
        <n v="0.7"/>
        <m/>
      </sharedItems>
    </cacheField>
    <cacheField name="Profit" numFmtId="44">
      <sharedItems containsString="0" containsBlank="1" containsNumber="1" minValue="-1665.0522000000001" maxValue="240.26490000000001" count="49">
        <n v="41.913600000000002"/>
        <n v="6.8714000000000004"/>
        <n v="-383.03100000000001"/>
        <n v="14.1694"/>
        <n v="5.4432"/>
        <n v="132.59219999999999"/>
        <n v="-123.858"/>
        <n v="13.317600000000001"/>
        <n v="9.99"/>
        <n v="2.4824000000000002"/>
        <n v="5.0595999999999997"/>
        <n v="-1.0196000000000001"/>
        <n v="240.26490000000001"/>
        <n v="4.2224000000000004"/>
        <n v="-1665.0522000000001"/>
        <n v="9.9467999999999996"/>
        <n v="123.47369999999999"/>
        <n v="35.414999999999999"/>
        <n v="16.5564"/>
        <n v="3.8940000000000001"/>
        <n v="9.5616000000000003"/>
        <n v="19.7714"/>
        <n v="8.4784000000000006"/>
        <n v="4.95"/>
        <n v="17.9634"/>
        <n v="6.2565999999999997"/>
        <n v="52.14"/>
        <n v="6.1512000000000002"/>
        <n v="-15.2225"/>
        <n v="111.30240000000001"/>
        <n v="35.663600000000002"/>
        <n v="1.7310000000000001"/>
        <n v="8.7629999999999999"/>
        <n v="-114.3912"/>
        <n v="-1.9343999999999999"/>
        <n v="-14.475"/>
        <n v="56.203200000000002"/>
        <n v="4.1719999999999997"/>
        <n v="62.807499999999997"/>
        <n v="-48.954900000000002"/>
        <n v="33.215600000000002"/>
        <n v="6.7965999999999998"/>
        <n v="13.857200000000001"/>
        <n v="6.633"/>
        <n v="6.2207999999999997"/>
        <n v="-3.7879999999999998"/>
        <n v="40.5426"/>
        <n v="17.959199999999999"/>
        <m/>
      </sharedItems>
    </cacheField>
  </cacheFields>
  <extLst>
    <ext xmlns:x14="http://schemas.microsoft.com/office/spreadsheetml/2009/9/main" uri="{725AE2AE-9491-48be-B2B4-4EB974FC3084}">
      <x14:pivotCacheDefinition pivotCacheId="100359486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
  <r>
    <n v="1"/>
    <s v="CA-2013-152156"/>
    <x v="0"/>
    <x v="0"/>
    <d v="2013-09-11T00:00:00"/>
    <d v="2013-12-11T00:00:00"/>
    <s v="Second Class"/>
    <s v="CG-12520"/>
    <s v="Claire Gute"/>
    <s v="Consumer"/>
    <s v="United States"/>
    <s v="Henderson"/>
    <s v="Kentucky"/>
    <n v="42420"/>
    <x v="0"/>
    <s v="FUR-BO-10001798"/>
    <x v="0"/>
    <s v="Bookcases"/>
    <s v="Bush Somerset Collection Bookcase"/>
    <x v="0"/>
    <n v="2"/>
    <x v="0"/>
    <x v="0"/>
  </r>
  <r>
    <n v="3"/>
    <s v="CA-2013-138688"/>
    <x v="0"/>
    <x v="0"/>
    <d v="2013-09-12T00:00:00"/>
    <d v="2013-12-12T00:00:00"/>
    <s v="Second Class"/>
    <s v="DV-13045"/>
    <s v="Darrin Van Huff"/>
    <s v="Corporate"/>
    <s v="United States"/>
    <s v="Los Angeles"/>
    <s v="California"/>
    <n v="90036"/>
    <x v="1"/>
    <s v="OFF-LA-10000240"/>
    <x v="1"/>
    <s v="Labels"/>
    <s v="Self-Adhesive Address Labels for Typewriters by Universal"/>
    <x v="1"/>
    <n v="2"/>
    <x v="0"/>
    <x v="1"/>
  </r>
  <r>
    <n v="4"/>
    <s v="US-2012-108966"/>
    <x v="0"/>
    <x v="1"/>
    <d v="2013-09-13T00:00:00"/>
    <d v="2013-12-13T00:00:00"/>
    <s v="Standard Class"/>
    <s v="SO-20335"/>
    <s v="Sean O'Donnell"/>
    <s v="Consumer"/>
    <s v="United States"/>
    <s v="Fort Lauderdale"/>
    <s v="Florida"/>
    <n v="33311"/>
    <x v="0"/>
    <s v="FUR-TA-10000577"/>
    <x v="0"/>
    <s v="Tables"/>
    <s v="Bretford CR4500 Series Slim Rectangular Table"/>
    <x v="2"/>
    <n v="5"/>
    <x v="1"/>
    <x v="2"/>
  </r>
  <r>
    <n v="6"/>
    <s v="CA-2011-115812"/>
    <x v="0"/>
    <x v="2"/>
    <d v="2013-09-14T00:00:00"/>
    <d v="2013-12-14T00:00:00"/>
    <s v="Standard Class"/>
    <s v="BH-11710"/>
    <s v="Brosina Hoffman"/>
    <s v="Consumer"/>
    <s v="United States"/>
    <s v="Los Angeles"/>
    <s v="California"/>
    <n v="90032"/>
    <x v="1"/>
    <s v="FUR-FU-10001487"/>
    <x v="0"/>
    <s v="Furnishings"/>
    <s v="Eldon Expressions Wood and Plastic Desk Accessories, Cherry Wood"/>
    <x v="3"/>
    <n v="7"/>
    <x v="0"/>
    <x v="3"/>
  </r>
  <r>
    <n v="13"/>
    <s v="CA-2014-114412"/>
    <x v="0"/>
    <x v="3"/>
    <d v="2013-09-15T00:00:00"/>
    <d v="2013-12-15T00:00:00"/>
    <s v="Standard Class"/>
    <s v="AA-10480"/>
    <s v="Andrew Allen"/>
    <s v="Consumer"/>
    <s v="United States"/>
    <s v="Concord"/>
    <s v="North Carolina"/>
    <n v="28027"/>
    <x v="0"/>
    <s v="OFF-PA-10002365"/>
    <x v="1"/>
    <s v="Paper"/>
    <s v="Xerox 1967"/>
    <x v="4"/>
    <n v="3"/>
    <x v="2"/>
    <x v="4"/>
  </r>
  <r>
    <n v="14"/>
    <s v="CA-2013-161389"/>
    <x v="0"/>
    <x v="0"/>
    <d v="2013-09-16T00:00:00"/>
    <d v="2013-12-16T00:00:00"/>
    <s v="Standard Class"/>
    <s v="IM-15070"/>
    <s v="Irene Maddox"/>
    <s v="Consumer"/>
    <s v="United States"/>
    <s v="Seattle"/>
    <s v="Washington"/>
    <n v="98103"/>
    <x v="1"/>
    <s v="OFF-BI-10003656"/>
    <x v="1"/>
    <s v="Binders"/>
    <s v="Fellowes PB200 Plastic Comb Binding Machine"/>
    <x v="5"/>
    <n v="3"/>
    <x v="2"/>
    <x v="5"/>
  </r>
  <r>
    <n v="15"/>
    <s v="US-2012-118983"/>
    <x v="0"/>
    <x v="1"/>
    <d v="2013-09-17T00:00:00"/>
    <d v="2013-12-17T00:00:00"/>
    <s v="Standard Class"/>
    <s v="HP-14815"/>
    <s v="Harold Pawlan"/>
    <s v="Home Office"/>
    <s v="United States"/>
    <s v="Fort Worth"/>
    <s v="Texas"/>
    <n v="76106"/>
    <x v="2"/>
    <s v="OFF-AP-10002311"/>
    <x v="1"/>
    <s v="Appliances"/>
    <s v="Holmes Replacement Filter for HEPA Air Cleaner, Very Large Room, HEPA Filter"/>
    <x v="6"/>
    <n v="5"/>
    <x v="3"/>
    <x v="6"/>
  </r>
  <r>
    <n v="17"/>
    <s v="CA-2011-105893"/>
    <x v="0"/>
    <x v="2"/>
    <d v="2013-09-18T00:00:00"/>
    <d v="2013-12-18T00:00:00"/>
    <s v="Standard Class"/>
    <s v="PK-19075"/>
    <s v="Pete Kriz"/>
    <s v="Consumer"/>
    <s v="United States"/>
    <s v="Madison"/>
    <s v="Wisconsin"/>
    <n v="53711"/>
    <x v="2"/>
    <s v="OFF-ST-10004186"/>
    <x v="1"/>
    <s v="Storage"/>
    <s v="Stur-D-Stor Shelving, Vertical 5-Shelf: 72&quot;H x 36&quot;W x 18 1/2&quot;D"/>
    <x v="7"/>
    <n v="6"/>
    <x v="0"/>
    <x v="7"/>
  </r>
  <r>
    <n v="18"/>
    <s v="CA-2011-167164"/>
    <x v="0"/>
    <x v="2"/>
    <d v="2013-09-19T00:00:00"/>
    <d v="2013-12-19T00:00:00"/>
    <s v="Second Class"/>
    <s v="AG-10270"/>
    <s v="Alejandro Grove"/>
    <s v="Consumer"/>
    <s v="United States"/>
    <s v="West Jordan"/>
    <s v="Utah"/>
    <n v="84084"/>
    <x v="1"/>
    <s v="OFF-ST-10000107"/>
    <x v="1"/>
    <s v="Storage"/>
    <s v="Fellowes Super Stor/Drawer"/>
    <x v="8"/>
    <n v="2"/>
    <x v="0"/>
    <x v="8"/>
  </r>
  <r>
    <n v="19"/>
    <s v="CA-2011-143336"/>
    <x v="0"/>
    <x v="2"/>
    <d v="2013-09-20T00:00:00"/>
    <d v="2013-12-20T00:00:00"/>
    <s v="Second Class"/>
    <s v="ZD-21925"/>
    <s v="Zuschuss Donatelli"/>
    <s v="Consumer"/>
    <s v="United States"/>
    <s v="San Francisco"/>
    <s v="California"/>
    <n v="94109"/>
    <x v="1"/>
    <s v="OFF-AR-10003056"/>
    <x v="1"/>
    <s v="Art"/>
    <s v="Newell 341"/>
    <x v="9"/>
    <n v="2"/>
    <x v="0"/>
    <x v="9"/>
  </r>
  <r>
    <n v="22"/>
    <s v="CA-2013-137330"/>
    <x v="0"/>
    <x v="0"/>
    <d v="2013-09-21T00:00:00"/>
    <d v="2013-12-21T00:00:00"/>
    <s v="Standard Class"/>
    <s v="KB-16585"/>
    <s v="Ken Black"/>
    <s v="Corporate"/>
    <s v="United States"/>
    <s v="Fremont"/>
    <s v="Nebraska"/>
    <n v="68025"/>
    <x v="2"/>
    <s v="OFF-AR-10000246"/>
    <x v="1"/>
    <s v="Art"/>
    <s v="Newell 318"/>
    <x v="10"/>
    <n v="7"/>
    <x v="0"/>
    <x v="10"/>
  </r>
  <r>
    <n v="24"/>
    <s v="US-2014-156909"/>
    <x v="0"/>
    <x v="3"/>
    <d v="2013-09-22T00:00:00"/>
    <d v="2013-12-22T00:00:00"/>
    <s v="Second Class"/>
    <s v="SF-20065"/>
    <s v="Sandra Flanagan"/>
    <s v="Consumer"/>
    <s v="United States"/>
    <s v="Philadelphia"/>
    <s v="Pennsylvania"/>
    <n v="19140"/>
    <x v="3"/>
    <s v="FUR-CH-10002774"/>
    <x v="0"/>
    <s v="Chairs"/>
    <s v="Global Deluxe Stacking Chair, Gray"/>
    <x v="11"/>
    <n v="2"/>
    <x v="4"/>
    <x v="11"/>
  </r>
  <r>
    <n v="25"/>
    <s v="CA-2012-106320"/>
    <x v="0"/>
    <x v="1"/>
    <d v="2013-09-23T00:00:00"/>
    <d v="2013-12-23T00:00:00"/>
    <s v="Standard Class"/>
    <s v="EB-13870"/>
    <s v="Emily Burns"/>
    <s v="Consumer"/>
    <s v="United States"/>
    <s v="Orem"/>
    <s v="Utah"/>
    <n v="84057"/>
    <x v="1"/>
    <s v="OFF-BI-10001634"/>
    <x v="0"/>
    <s v="Tables"/>
    <s v="Bretford CR4500 Series Slim Rectangular Table"/>
    <x v="12"/>
    <n v="3"/>
    <x v="0"/>
    <x v="12"/>
  </r>
  <r>
    <n v="26"/>
    <s v="CA-2013-121755"/>
    <x v="0"/>
    <x v="0"/>
    <d v="2013-09-24T00:00:00"/>
    <d v="2013-12-24T00:00:00"/>
    <s v="Second Class"/>
    <s v="EH-13945"/>
    <s v="Eric Hoffmann"/>
    <s v="Consumer"/>
    <s v="United States"/>
    <s v="Los Angeles"/>
    <s v="California"/>
    <n v="90049"/>
    <x v="1"/>
    <s v="FUR-BO-10004834"/>
    <x v="1"/>
    <s v="Binders"/>
    <s v="Wilson Jones Active Use Binders"/>
    <x v="13"/>
    <n v="2"/>
    <x v="2"/>
    <x v="13"/>
  </r>
  <r>
    <n v="28"/>
    <s v="US-2012-150630"/>
    <x v="0"/>
    <x v="1"/>
    <d v="2013-09-25T00:00:00"/>
    <d v="2013-12-25T00:00:00"/>
    <s v="Standard Class"/>
    <s v="TB-21520"/>
    <s v="Tracy Blumstein"/>
    <s v="Consumer"/>
    <s v="United States"/>
    <s v="Philadelphia"/>
    <s v="Pennsylvania"/>
    <n v="19140"/>
    <x v="3"/>
    <s v="OFF-PA-10000249"/>
    <x v="0"/>
    <s v="Bookcases"/>
    <s v="Riverside Palais Royal Lawyers Bookcase, Royale Cherry Finish"/>
    <x v="14"/>
    <n v="7"/>
    <x v="5"/>
    <x v="14"/>
  </r>
  <r>
    <n v="35"/>
    <s v="CA-2014-107727"/>
    <x v="0"/>
    <x v="3"/>
    <d v="2013-09-26T00:00:00"/>
    <d v="2013-12-26T00:00:00"/>
    <s v="Second Class"/>
    <s v="MA-17560"/>
    <s v="Matt Abelman"/>
    <s v="Home Office"/>
    <s v="United States"/>
    <s v="Houston"/>
    <s v="Texas"/>
    <n v="77095"/>
    <x v="2"/>
    <s v="TEC-PH-10004977"/>
    <x v="1"/>
    <s v="Paper"/>
    <s v="Staples"/>
    <x v="15"/>
    <n v="3"/>
    <x v="2"/>
    <x v="15"/>
  </r>
  <r>
    <n v="36"/>
    <s v="CA-2013-117590"/>
    <x v="0"/>
    <x v="0"/>
    <d v="2013-09-27T00:00:00"/>
    <d v="2013-12-27T00:00:00"/>
    <s v="First Class"/>
    <s v="GH-14485"/>
    <s v="Gene Hale"/>
    <s v="Corporate"/>
    <s v="United States"/>
    <s v="Richardson"/>
    <s v="Texas"/>
    <n v="75080"/>
    <x v="2"/>
    <s v="OFF-EN-10002986"/>
    <x v="2"/>
    <s v="Phones"/>
    <s v="GE 30524EE4"/>
    <x v="16"/>
    <n v="7"/>
    <x v="2"/>
    <x v="16"/>
  </r>
  <r>
    <n v="38"/>
    <s v="CA-2012-117415"/>
    <x v="0"/>
    <x v="1"/>
    <d v="2013-09-28T00:00:00"/>
    <d v="2013-12-28T00:00:00"/>
    <s v="Standard Class"/>
    <s v="SN-20710"/>
    <s v="Steve Nguyen"/>
    <s v="Home Office"/>
    <s v="United States"/>
    <s v="Houston"/>
    <s v="Texas"/>
    <n v="77041"/>
    <x v="2"/>
    <s v="TEC-PH-10004093"/>
    <x v="1"/>
    <s v="Envelopes"/>
    <s v="#10-4 1/8&quot; x 9 1/2&quot; Premium Diagonal Seam Envelopes"/>
    <x v="17"/>
    <n v="9"/>
    <x v="2"/>
    <x v="17"/>
  </r>
  <r>
    <n v="42"/>
    <s v="CA-2014-120999"/>
    <x v="0"/>
    <x v="3"/>
    <d v="2013-09-29T00:00:00"/>
    <d v="2013-12-29T00:00:00"/>
    <s v="Standard Class"/>
    <s v="LC-16930"/>
    <s v="Linda Cazamias"/>
    <s v="Corporate"/>
    <s v="United States"/>
    <s v="Naperville"/>
    <s v="Illinois"/>
    <n v="60540"/>
    <x v="2"/>
    <s v="OFF-ST-10003479"/>
    <x v="2"/>
    <s v="Phones"/>
    <s v="Panasonic Kx-TS550"/>
    <x v="18"/>
    <n v="4"/>
    <x v="2"/>
    <x v="18"/>
  </r>
  <r>
    <n v="43"/>
    <s v="CA-2013-101343"/>
    <x v="0"/>
    <x v="0"/>
    <d v="2013-09-30T00:00:00"/>
    <d v="2013-12-30T00:00:00"/>
    <s v="Standard Class"/>
    <s v="RA-19885"/>
    <s v="Ruben Ausman"/>
    <s v="Corporate"/>
    <s v="United States"/>
    <s v="Los Angeles"/>
    <s v="California"/>
    <n v="90049"/>
    <x v="1"/>
    <s v="OFF-ST-10003282"/>
    <x v="1"/>
    <s v="Storage"/>
    <s v="Eldon Base for stackable storage shelf, platinum"/>
    <x v="19"/>
    <n v="2"/>
    <x v="0"/>
    <x v="19"/>
  </r>
  <r>
    <n v="44"/>
    <s v="CA-2014-139619"/>
    <x v="1"/>
    <x v="3"/>
    <d v="2013-10-01T00:00:00"/>
    <d v="2013-12-31T00:00:00"/>
    <s v="Standard Class"/>
    <s v="ES-14080"/>
    <s v="Erin Smith"/>
    <s v="Corporate"/>
    <s v="United States"/>
    <s v="Melbourne"/>
    <s v="Florida"/>
    <n v="32935"/>
    <x v="0"/>
    <s v="TEC-AC-10000171"/>
    <x v="1"/>
    <s v="Storage"/>
    <s v="Advantus 10-Drawer Portable Organizer, Chrome Metal Frame, Smoke Drawers"/>
    <x v="20"/>
    <n v="2"/>
    <x v="2"/>
    <x v="20"/>
  </r>
  <r>
    <n v="45"/>
    <s v="CA-2013-118255"/>
    <x v="1"/>
    <x v="0"/>
    <d v="2013-10-02T00:00:00"/>
    <d v="2014-01-01T00:00:00"/>
    <s v="First Class"/>
    <s v="ON-18715"/>
    <s v="Odella Nelson"/>
    <s v="Corporate"/>
    <s v="United States"/>
    <s v="Eagan"/>
    <s v="Minnesota"/>
    <n v="55122"/>
    <x v="2"/>
    <s v="OFF-ST-10001713"/>
    <x v="2"/>
    <s v="Accessories"/>
    <s v="Verbatim 25 GB 6x Blu-ray Single Layer Recordable Disc, 25/Pack"/>
    <x v="21"/>
    <n v="2"/>
    <x v="0"/>
    <x v="21"/>
  </r>
  <r>
    <n v="47"/>
    <s v="CA-2011-146703"/>
    <x v="1"/>
    <x v="2"/>
    <d v="2013-10-03T00:00:00"/>
    <d v="2014-01-02T00:00:00"/>
    <s v="Second Class"/>
    <s v="PO-18865"/>
    <s v="Patrick O'Donnell"/>
    <s v="Consumer"/>
    <s v="United States"/>
    <s v="Westland"/>
    <s v="Michigan"/>
    <n v="48185"/>
    <x v="2"/>
    <s v="TEC-AC-10002167"/>
    <x v="1"/>
    <s v="Storage"/>
    <s v="Gould Plastics 9-Pocket Panel Bin, 18-3/8w x 5-1/4d x 20-1/2h, Black"/>
    <x v="22"/>
    <n v="4"/>
    <x v="0"/>
    <x v="22"/>
  </r>
  <r>
    <n v="48"/>
    <s v="CA-2013-169194"/>
    <x v="1"/>
    <x v="0"/>
    <d v="2013-10-04T00:00:00"/>
    <d v="2014-01-03T00:00:00"/>
    <s v="Standard Class"/>
    <s v="LH-16900"/>
    <s v="Lena Hernandez"/>
    <s v="Consumer"/>
    <s v="United States"/>
    <s v="Dover"/>
    <s v="Delaware"/>
    <n v="19901"/>
    <x v="3"/>
    <s v="OFF-BI-10004410"/>
    <x v="2"/>
    <s v="Accessories"/>
    <s v="Imation 8gb Micro Traveldrive Usb 2.0 Flash Drive"/>
    <x v="23"/>
    <n v="3"/>
    <x v="0"/>
    <x v="23"/>
  </r>
  <r>
    <n v="50"/>
    <s v="CA-2012-115742"/>
    <x v="1"/>
    <x v="1"/>
    <d v="2013-10-05T00:00:00"/>
    <d v="2014-01-04T00:00:00"/>
    <s v="Standard Class"/>
    <s v="DP-13000"/>
    <s v="Darren Powers"/>
    <s v="Consumer"/>
    <s v="United States"/>
    <s v="New Albany"/>
    <s v="Indiana"/>
    <n v="47150"/>
    <x v="2"/>
    <s v="OFF-FA-10000304"/>
    <x v="1"/>
    <s v="Binders"/>
    <s v="C-Line Peel &amp; Stick Add-On Filing Pockets, 8-3/4 x 5-1/8, 10/Pack"/>
    <x v="24"/>
    <n v="6"/>
    <x v="0"/>
    <x v="24"/>
  </r>
  <r>
    <n v="54"/>
    <s v="CA-2013-105816"/>
    <x v="1"/>
    <x v="0"/>
    <d v="2013-10-06T00:00:00"/>
    <d v="2014-01-05T00:00:00"/>
    <s v="Standard Class"/>
    <s v="JM-15265"/>
    <s v="Janet Molinari"/>
    <s v="Corporate"/>
    <s v="United States"/>
    <s v="New York City"/>
    <s v="New York"/>
    <n v="10024"/>
    <x v="3"/>
    <s v="OFF-ST-10000604"/>
    <x v="1"/>
    <s v="Fasteners"/>
    <s v="Advantus Push Pins"/>
    <x v="25"/>
    <n v="7"/>
    <x v="0"/>
    <x v="25"/>
  </r>
  <r>
    <n v="56"/>
    <s v="CA-2013-111682"/>
    <x v="1"/>
    <x v="0"/>
    <d v="2013-10-07T00:00:00"/>
    <d v="2014-01-06T00:00:00"/>
    <s v="First Class"/>
    <s v="TB-21055"/>
    <s v="Ted Butterfield"/>
    <s v="Consumer"/>
    <s v="United States"/>
    <s v="Troy"/>
    <s v="New York"/>
    <n v="12180"/>
    <x v="3"/>
    <s v="TEC-AC-10004633"/>
    <x v="1"/>
    <s v="Storage"/>
    <s v="Home/Office Personal File Carts"/>
    <x v="26"/>
    <n v="6"/>
    <x v="0"/>
    <x v="26"/>
  </r>
  <r>
    <n v="63"/>
    <s v="CA-2012-135545"/>
    <x v="1"/>
    <x v="1"/>
    <d v="2013-10-08T00:00:00"/>
    <d v="2014-01-07T00:00:00"/>
    <s v="Standard Class"/>
    <s v="KM-16720"/>
    <s v="Kunst Miller"/>
    <s v="Consumer"/>
    <s v="United States"/>
    <s v="Los Angeles"/>
    <s v="California"/>
    <n v="90004"/>
    <x v="1"/>
    <s v="FUR-CH-10001146"/>
    <x v="2"/>
    <s v="Accessories"/>
    <s v="Verbatim 25 GB 6x Blu-ray Single Layer Recordable Disc, 3/Pack"/>
    <x v="27"/>
    <n v="2"/>
    <x v="0"/>
    <x v="27"/>
  </r>
  <r>
    <n v="67"/>
    <s v="US-2012-164175"/>
    <x v="1"/>
    <x v="1"/>
    <d v="2013-10-09T00:00:00"/>
    <d v="2014-01-08T00:00:00"/>
    <s v="Standard Class"/>
    <s v="PS-18970"/>
    <s v="Paul Stevenson"/>
    <s v="Home Office"/>
    <s v="United States"/>
    <s v="Chicago"/>
    <s v="Illinois"/>
    <n v="60610"/>
    <x v="2"/>
    <s v="OFF-AR-10002671"/>
    <x v="0"/>
    <s v="Chairs"/>
    <s v="Global Value Mid-Back Manager's Chair, Gray"/>
    <x v="28"/>
    <n v="5"/>
    <x v="4"/>
    <x v="28"/>
  </r>
  <r>
    <n v="68"/>
    <s v="CA-2011-106376"/>
    <x v="1"/>
    <x v="2"/>
    <d v="2013-10-10T00:00:00"/>
    <d v="2014-01-09T00:00:00"/>
    <s v="Standard Class"/>
    <s v="BS-11590"/>
    <s v="Brendan Sweed"/>
    <s v="Corporate"/>
    <s v="United States"/>
    <s v="Gilbert"/>
    <s v="Arizona"/>
    <n v="85234"/>
    <x v="1"/>
    <s v="OFF-PA-10000482"/>
    <x v="1"/>
    <s v="Art"/>
    <s v="Hunt BOSTON Model 1606 High-Volume Electric Pencil Sharpener, Beige"/>
    <x v="29"/>
    <n v="8"/>
    <x v="2"/>
    <x v="29"/>
  </r>
  <r>
    <n v="70"/>
    <s v="CA-2013-119823"/>
    <x v="1"/>
    <x v="0"/>
    <d v="2013-10-11T00:00:00"/>
    <d v="2014-01-10T00:00:00"/>
    <s v="First Class"/>
    <s v="KD-16270"/>
    <s v="Karen Daniels"/>
    <s v="Consumer"/>
    <s v="United States"/>
    <s v="Springfield"/>
    <s v="Virginia"/>
    <n v="22153"/>
    <x v="0"/>
    <s v="OFF-BI-10004654"/>
    <x v="1"/>
    <s v="Paper"/>
    <s v="Snap-A-Way Black Print Carbonless Ruled Speed Letter, Triplicate"/>
    <x v="30"/>
    <n v="2"/>
    <x v="0"/>
    <x v="30"/>
  </r>
  <r>
    <n v="71"/>
    <s v="CA-2013-106075"/>
    <x v="1"/>
    <x v="0"/>
    <d v="2013-10-12T00:00:00"/>
    <d v="2014-01-11T00:00:00"/>
    <s v="Standard Class"/>
    <s v="HM-14980"/>
    <s v="Henry Macallister"/>
    <s v="Consumer"/>
    <s v="United States"/>
    <s v="New York City"/>
    <s v="New York"/>
    <n v="10009"/>
    <x v="3"/>
    <s v="OFF-PA-10004675"/>
    <x v="1"/>
    <s v="Binders"/>
    <s v="Avery Binding System Hidden Tab Executive Style Index Sets"/>
    <x v="31"/>
    <n v="1"/>
    <x v="2"/>
    <x v="31"/>
  </r>
  <r>
    <n v="72"/>
    <s v="CA-2014-114440"/>
    <x v="1"/>
    <x v="3"/>
    <d v="2013-10-13T00:00:00"/>
    <d v="2014-01-12T00:00:00"/>
    <s v="Second Class"/>
    <s v="TB-21520"/>
    <s v="Tracy Blumstein"/>
    <s v="Consumer"/>
    <s v="United States"/>
    <s v="Jackson"/>
    <s v="Michigan"/>
    <n v="49201"/>
    <x v="2"/>
    <s v="FUR-CH-10000513"/>
    <x v="1"/>
    <s v="Paper"/>
    <s v="Telephone Message Books with Fax/Mobile Section, 5 1/2&quot; x 3 3/16&quot;"/>
    <x v="32"/>
    <n v="3"/>
    <x v="0"/>
    <x v="32"/>
  </r>
  <r>
    <n v="73"/>
    <s v="US-2012-134026"/>
    <x v="1"/>
    <x v="1"/>
    <d v="2013-10-14T00:00:00"/>
    <d v="2014-01-13T00:00:00"/>
    <s v="Standard Class"/>
    <s v="JE-15745"/>
    <s v="Joel Eaton"/>
    <s v="Consumer"/>
    <s v="United States"/>
    <s v="Memphis"/>
    <s v="Tennessee"/>
    <n v="38109"/>
    <x v="0"/>
    <s v="OFF-BI-10004182"/>
    <x v="0"/>
    <s v="Chairs"/>
    <s v="High-Back Leather Manager's Chair"/>
    <x v="33"/>
    <n v="8"/>
    <x v="2"/>
    <x v="33"/>
  </r>
  <r>
    <n v="76"/>
    <s v="US-2014-118038"/>
    <x v="1"/>
    <x v="3"/>
    <d v="2013-10-15T00:00:00"/>
    <d v="2014-01-14T00:00:00"/>
    <s v="First Class"/>
    <s v="KB-16600"/>
    <s v="Ken Brennan"/>
    <s v="Corporate"/>
    <s v="United States"/>
    <s v="Houston"/>
    <s v="Texas"/>
    <n v="77041"/>
    <x v="2"/>
    <s v="FUR-FU-10003194"/>
    <x v="1"/>
    <s v="Binders"/>
    <s v="Economy Binders"/>
    <x v="34"/>
    <n v="3"/>
    <x v="3"/>
    <x v="34"/>
  </r>
  <r>
    <n v="79"/>
    <s v="US-2011-147606"/>
    <x v="1"/>
    <x v="2"/>
    <d v="2013-10-16T00:00:00"/>
    <d v="2014-01-15T00:00:00"/>
    <s v="Second Class"/>
    <s v="JE-15745"/>
    <s v="Joel Eaton"/>
    <s v="Consumer"/>
    <s v="United States"/>
    <s v="Houston"/>
    <s v="Texas"/>
    <n v="77070"/>
    <x v="2"/>
    <s v="OFF-AP-10002118"/>
    <x v="0"/>
    <s v="Furnishings"/>
    <s v="Eldon Expressions Desk Accessory, Wood Pencil Holder, Oak"/>
    <x v="35"/>
    <n v="5"/>
    <x v="6"/>
    <x v="35"/>
  </r>
  <r>
    <n v="80"/>
    <s v="CA-2013-127208"/>
    <x v="1"/>
    <x v="0"/>
    <d v="2013-10-17T00:00:00"/>
    <d v="2014-01-16T00:00:00"/>
    <s v="First Class"/>
    <s v="SC-20770"/>
    <s v="Stewart Carmichael"/>
    <s v="Corporate"/>
    <s v="United States"/>
    <s v="Decatur"/>
    <s v="Alabama"/>
    <n v="35601"/>
    <x v="0"/>
    <s v="OFF-AR-10002053"/>
    <x v="1"/>
    <s v="Appliances"/>
    <s v="1.7 Cubic Foot Compact &quot;Cube&quot; Office Refrigerators"/>
    <x v="36"/>
    <n v="1"/>
    <x v="0"/>
    <x v="36"/>
  </r>
  <r>
    <n v="82"/>
    <s v="CA-2011-139451"/>
    <x v="1"/>
    <x v="2"/>
    <d v="2013-10-18T00:00:00"/>
    <d v="2014-01-17T00:00:00"/>
    <s v="Standard Class"/>
    <s v="DN-13690"/>
    <s v="Duane Noonan"/>
    <s v="Consumer"/>
    <s v="United States"/>
    <s v="San Francisco"/>
    <s v="California"/>
    <n v="94122"/>
    <x v="1"/>
    <s v="OFF-EN-10000927"/>
    <x v="1"/>
    <s v="Art"/>
    <s v="Premium Writing Pencils, Soft, #2 by Central Association for the Blind"/>
    <x v="37"/>
    <n v="5"/>
    <x v="0"/>
    <x v="37"/>
  </r>
  <r>
    <n v="84"/>
    <s v="CA-2012-149734"/>
    <x v="1"/>
    <x v="1"/>
    <d v="2013-10-19T00:00:00"/>
    <d v="2014-01-18T00:00:00"/>
    <s v="Standard Class"/>
    <s v="JC-16105"/>
    <s v="Julie Creighton"/>
    <s v="Corporate"/>
    <s v="United States"/>
    <s v="Durham"/>
    <s v="North Carolina"/>
    <n v="27707"/>
    <x v="0"/>
    <s v="OFF-ST-10003656"/>
    <x v="1"/>
    <s v="Envelopes"/>
    <s v="Jet-Pak Recycled Peel 'N' Seal Padded Mailers"/>
    <x v="38"/>
    <n v="7"/>
    <x v="2"/>
    <x v="38"/>
  </r>
  <r>
    <n v="85"/>
    <s v="US-2014-119662"/>
    <x v="1"/>
    <x v="3"/>
    <d v="2013-10-20T00:00:00"/>
    <d v="2014-01-19T00:00:00"/>
    <s v="First Class"/>
    <s v="CS-12400"/>
    <s v="Christopher Schild"/>
    <s v="Home Office"/>
    <s v="United States"/>
    <s v="Chicago"/>
    <s v="Illinois"/>
    <n v="60623"/>
    <x v="2"/>
    <s v="FUR-CH-10000863"/>
    <x v="1"/>
    <s v="Storage"/>
    <s v="Safco Industrial Wire Shelving"/>
    <x v="39"/>
    <n v="3"/>
    <x v="2"/>
    <x v="39"/>
  </r>
  <r>
    <n v="86"/>
    <s v="CA-2014-140088"/>
    <x v="1"/>
    <x v="3"/>
    <d v="2013-10-21T00:00:00"/>
    <d v="2014-01-20T00:00:00"/>
    <s v="Second Class"/>
    <s v="PO-18865"/>
    <s v="Patrick O'Donnell"/>
    <s v="Consumer"/>
    <s v="United States"/>
    <s v="Columbia"/>
    <s v="South Carolina"/>
    <n v="29203"/>
    <x v="0"/>
    <s v="TEC-AC-10001998"/>
    <x v="0"/>
    <s v="Chairs"/>
    <s v="Novimex Swivel Fabric Task Chair"/>
    <x v="40"/>
    <n v="2"/>
    <x v="0"/>
    <x v="40"/>
  </r>
  <r>
    <n v="87"/>
    <s v="CA-2014-155558"/>
    <x v="1"/>
    <x v="3"/>
    <d v="2013-10-22T00:00:00"/>
    <d v="2014-01-21T00:00:00"/>
    <s v="Standard Class"/>
    <s v="PG-18895"/>
    <s v="Paul Gonzalez"/>
    <s v="Consumer"/>
    <s v="United States"/>
    <s v="Rochester"/>
    <s v="Minnesota"/>
    <n v="55901"/>
    <x v="2"/>
    <s v="OFF-ST-10003442"/>
    <x v="2"/>
    <s v="Accessories"/>
    <s v="Logitech LS21 Speaker System - PC Multimedia - 2.1-CH - Wired"/>
    <x v="41"/>
    <n v="1"/>
    <x v="0"/>
    <x v="41"/>
  </r>
  <r>
    <n v="89"/>
    <s v="CA-2013-159695"/>
    <x v="1"/>
    <x v="0"/>
    <d v="2013-10-23T00:00:00"/>
    <d v="2014-01-22T00:00:00"/>
    <s v="Second Class"/>
    <s v="GM-14455"/>
    <s v="Gary Mitchum"/>
    <s v="Home Office"/>
    <s v="United States"/>
    <s v="Houston"/>
    <s v="Texas"/>
    <n v="77095"/>
    <x v="2"/>
    <s v="OFF-AR-10004930"/>
    <x v="1"/>
    <s v="Storage"/>
    <s v="Eldon Portable Mobile Manager"/>
    <x v="42"/>
    <n v="7"/>
    <x v="2"/>
    <x v="42"/>
  </r>
  <r>
    <n v="90"/>
    <s v="CA-2013-109806"/>
    <x v="1"/>
    <x v="0"/>
    <d v="2013-10-24T00:00:00"/>
    <d v="2014-01-23T00:00:00"/>
    <s v="Standard Class"/>
    <s v="JS-15685"/>
    <s v="Jim Sink"/>
    <s v="Corporate"/>
    <s v="United States"/>
    <s v="Los Angeles"/>
    <s v="California"/>
    <n v="90036"/>
    <x v="1"/>
    <s v="OFF-PA-10003177"/>
    <x v="1"/>
    <s v="Art"/>
    <s v="Turquoise Lead Holder with Pocket Clip"/>
    <x v="43"/>
    <n v="3"/>
    <x v="0"/>
    <x v="43"/>
  </r>
  <r>
    <n v="93"/>
    <s v="CA-2012-149587"/>
    <x v="1"/>
    <x v="1"/>
    <d v="2013-10-25T00:00:00"/>
    <d v="2014-01-24T00:00:00"/>
    <s v="Second Class"/>
    <s v="KB-16315"/>
    <s v="Karl Braun"/>
    <s v="Consumer"/>
    <s v="United States"/>
    <s v="Minneapolis"/>
    <s v="Minnesota"/>
    <n v="55407"/>
    <x v="2"/>
    <s v="OFF-BI-10004738"/>
    <x v="1"/>
    <s v="Paper"/>
    <s v="Xerox 1999"/>
    <x v="44"/>
    <n v="2"/>
    <x v="0"/>
    <x v="44"/>
  </r>
  <r>
    <n v="96"/>
    <s v="US-2014-109484"/>
    <x v="1"/>
    <x v="3"/>
    <d v="2013-10-26T00:00:00"/>
    <d v="2014-01-25T00:00:00"/>
    <s v="Standard Class"/>
    <s v="RB-19705"/>
    <s v="Roger Barcio"/>
    <s v="Home Office"/>
    <s v="United States"/>
    <s v="Portland"/>
    <s v="Oregon"/>
    <n v="97206"/>
    <x v="1"/>
    <s v="FUR-FU-10000629"/>
    <x v="1"/>
    <s v="Binders"/>
    <s v="Flexible Leather- Look Classic Collection Ring Binder"/>
    <x v="45"/>
    <n v="1"/>
    <x v="7"/>
    <x v="45"/>
  </r>
  <r>
    <n v="97"/>
    <s v="CA-2014-161018"/>
    <x v="1"/>
    <x v="3"/>
    <d v="2013-10-27T00:00:00"/>
    <d v="2014-01-26T00:00:00"/>
    <s v="Second Class"/>
    <s v="PN-18775"/>
    <s v="Parhena Norris"/>
    <s v="Home Office"/>
    <s v="United States"/>
    <s v="New York City"/>
    <s v="New York"/>
    <n v="10009"/>
    <x v="3"/>
    <s v="OFF-BI-10001721"/>
    <x v="0"/>
    <s v="Furnishings"/>
    <s v="9-3/4 Diameter Round Wall Clock"/>
    <x v="46"/>
    <n v="7"/>
    <x v="0"/>
    <x v="46"/>
  </r>
  <r>
    <n v="98"/>
    <s v="CA-2014-157833"/>
    <x v="1"/>
    <x v="3"/>
    <d v="2013-10-28T00:00:00"/>
    <d v="2014-01-27T00:00:00"/>
    <s v="First Class"/>
    <s v="KD-16345"/>
    <s v="Katherine Ducich"/>
    <s v="Consumer"/>
    <s v="United States"/>
    <s v="San Francisco"/>
    <s v="California"/>
    <n v="94122"/>
    <x v="1"/>
    <s v="OFF-AP-10000358"/>
    <x v="1"/>
    <s v="Binders"/>
    <s v="Trimflex Flexible Post Binders"/>
    <x v="47"/>
    <n v="3"/>
    <x v="2"/>
    <x v="47"/>
  </r>
  <r>
    <m/>
    <m/>
    <x v="2"/>
    <x v="4"/>
    <m/>
    <m/>
    <m/>
    <m/>
    <m/>
    <m/>
    <m/>
    <m/>
    <m/>
    <m/>
    <x v="4"/>
    <m/>
    <x v="3"/>
    <m/>
    <m/>
    <x v="48"/>
    <m/>
    <x v="8"/>
    <x v="4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21" cacheId="0" applyNumberFormats="0" applyBorderFormats="0" applyFontFormats="0" applyPatternFormats="0" applyAlignmentFormats="0" applyWidthHeightFormats="1" dataCaption="Values" updatedVersion="8" minRefreshableVersion="3" useAutoFormatting="1" createdVersion="8" indent="0" outline="1" outlineData="1" multipleFieldFilters="0" rowHeaderCaption="Discount">
  <location ref="A43:B52" firstHeaderRow="1" firstDataRow="1" firstDataCol="1"/>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5">
        <item x="0"/>
        <item x="1"/>
        <item x="2"/>
        <item h="1" x="3"/>
        <item t="default"/>
      </items>
    </pivotField>
    <pivotField showAll="0"/>
    <pivotField showAll="0"/>
    <pivotField showAll="0">
      <items count="50">
        <item x="34"/>
        <item x="31"/>
        <item x="45"/>
        <item x="9"/>
        <item x="13"/>
        <item x="44"/>
        <item x="27"/>
        <item x="1"/>
        <item x="37"/>
        <item x="25"/>
        <item x="4"/>
        <item x="32"/>
        <item x="35"/>
        <item x="10"/>
        <item x="41"/>
        <item x="43"/>
        <item x="15"/>
        <item x="24"/>
        <item x="23"/>
        <item x="21"/>
        <item x="3"/>
        <item x="47"/>
        <item x="8"/>
        <item x="6"/>
        <item x="11"/>
        <item x="30"/>
        <item x="19"/>
        <item x="20"/>
        <item x="46"/>
        <item x="17"/>
        <item x="18"/>
        <item x="42"/>
        <item x="38"/>
        <item x="36"/>
        <item x="26"/>
        <item x="22"/>
        <item x="28"/>
        <item x="39"/>
        <item x="0"/>
        <item x="40"/>
        <item x="5"/>
        <item x="7"/>
        <item x="33"/>
        <item x="2"/>
        <item x="12"/>
        <item x="16"/>
        <item x="29"/>
        <item x="14"/>
        <item x="48"/>
        <item t="default"/>
      </items>
    </pivotField>
    <pivotField showAll="0"/>
    <pivotField axis="axisRow" showAll="0" sortType="ascending">
      <items count="10">
        <item x="0"/>
        <item x="2"/>
        <item x="4"/>
        <item x="1"/>
        <item x="5"/>
        <item x="6"/>
        <item x="7"/>
        <item x="3"/>
        <item h="1" x="8"/>
        <item t="default"/>
      </items>
    </pivotField>
    <pivotField dataField="1" showAll="0">
      <items count="50">
        <item x="14"/>
        <item x="2"/>
        <item x="6"/>
        <item x="33"/>
        <item x="39"/>
        <item x="28"/>
        <item x="35"/>
        <item x="45"/>
        <item x="34"/>
        <item x="11"/>
        <item x="31"/>
        <item x="9"/>
        <item x="19"/>
        <item x="37"/>
        <item x="13"/>
        <item x="23"/>
        <item x="10"/>
        <item x="4"/>
        <item x="27"/>
        <item x="44"/>
        <item x="25"/>
        <item x="43"/>
        <item x="41"/>
        <item x="1"/>
        <item x="22"/>
        <item x="32"/>
        <item x="20"/>
        <item x="15"/>
        <item x="8"/>
        <item x="7"/>
        <item x="42"/>
        <item x="3"/>
        <item x="18"/>
        <item x="47"/>
        <item x="24"/>
        <item x="21"/>
        <item x="40"/>
        <item x="17"/>
        <item x="30"/>
        <item x="46"/>
        <item x="0"/>
        <item x="26"/>
        <item x="36"/>
        <item x="38"/>
        <item x="29"/>
        <item x="16"/>
        <item x="5"/>
        <item x="12"/>
        <item x="48"/>
        <item t="default"/>
      </items>
    </pivotField>
  </pivotFields>
  <rowFields count="1">
    <field x="21"/>
  </rowFields>
  <rowItems count="9">
    <i>
      <x/>
    </i>
    <i>
      <x v="1"/>
    </i>
    <i>
      <x v="2"/>
    </i>
    <i>
      <x v="3"/>
    </i>
    <i>
      <x v="4"/>
    </i>
    <i>
      <x v="5"/>
    </i>
    <i>
      <x v="6"/>
    </i>
    <i>
      <x v="7"/>
    </i>
    <i t="grand">
      <x/>
    </i>
  </rowItems>
  <colItems count="1">
    <i/>
  </colItems>
  <dataFields count="1">
    <dataField name="Sum of Profit" fld="22" baseField="21" baseItem="0"/>
  </dataFields>
  <formats count="12">
    <format dxfId="11">
      <pivotArea type="all" dataOnly="0" outline="0" fieldPosition="0"/>
    </format>
    <format dxfId="10">
      <pivotArea outline="0" collapsedLevelsAreSubtotals="1" fieldPosition="0"/>
    </format>
    <format dxfId="9">
      <pivotArea field="21" type="button" dataOnly="0" labelOnly="1" outline="0" fieldPosition="0"/>
    </format>
    <format dxfId="8">
      <pivotArea dataOnly="0" labelOnly="1" fieldPosition="0">
        <references count="1">
          <reference field="21" count="0"/>
        </references>
      </pivotArea>
    </format>
    <format dxfId="7">
      <pivotArea dataOnly="0" labelOnly="1" grandRow="1" outline="0" fieldPosition="0"/>
    </format>
    <format dxfId="6">
      <pivotArea dataOnly="0" labelOnly="1" outline="0" fieldPosition="0"/>
    </format>
    <format dxfId="5">
      <pivotArea type="all" dataOnly="0" outline="0" fieldPosition="0"/>
    </format>
    <format dxfId="4">
      <pivotArea outline="0" collapsedLevelsAreSubtotals="1" fieldPosition="0"/>
    </format>
    <format dxfId="3">
      <pivotArea field="21" type="button" dataOnly="0" labelOnly="1" outline="0" fieldPosition="0"/>
    </format>
    <format dxfId="2">
      <pivotArea dataOnly="0" labelOnly="1" fieldPosition="0">
        <references count="1">
          <reference field="21" count="0"/>
        </references>
      </pivotArea>
    </format>
    <format dxfId="1">
      <pivotArea dataOnly="0" labelOnly="1" grandRow="1" outline="0" fieldPosition="0"/>
    </format>
    <format dxfId="0">
      <pivotArea dataOnly="0" labelOnly="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4000000}" name="PivotTable17" cacheId="0" applyNumberFormats="0" applyBorderFormats="0" applyFontFormats="0" applyPatternFormats="0" applyAlignmentFormats="0" applyWidthHeightFormats="1" dataCaption="Values" updatedVersion="8" minRefreshableVersion="3" useAutoFormatting="1" createdVersion="8" indent="0" outline="1" outlineData="1" multipleFieldFilters="0" chartFormat="15" rowHeaderCaption="Discount">
  <location ref="A34:B37" firstHeaderRow="1" firstDataRow="1" firstDataCol="1"/>
  <pivotFields count="23">
    <pivotField showAll="0"/>
    <pivotField showAll="0"/>
    <pivotField axis="axisRow" showAll="0" sortType="descending">
      <items count="4">
        <item x="0"/>
        <item x="1"/>
        <item h="1"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sortType="descending">
      <items count="6">
        <item x="2"/>
        <item x="3"/>
        <item x="0"/>
        <item x="1"/>
        <item h="1" x="4"/>
        <item t="default"/>
      </items>
      <autoSortScope>
        <pivotArea dataOnly="0" outline="0" fieldPosition="0">
          <references count="1">
            <reference field="4294967294" count="1" selected="0">
              <x v="0"/>
            </reference>
          </references>
        </pivotArea>
      </autoSortScope>
    </pivotField>
    <pivotField showAll="0"/>
    <pivotField showAll="0">
      <items count="5">
        <item x="0"/>
        <item x="1"/>
        <item x="2"/>
        <item h="1" x="3"/>
        <item t="default"/>
      </items>
    </pivotField>
    <pivotField showAll="0"/>
    <pivotField showAll="0"/>
    <pivotField dataField="1" showAll="0">
      <items count="50">
        <item x="34"/>
        <item x="31"/>
        <item x="45"/>
        <item x="9"/>
        <item x="13"/>
        <item x="44"/>
        <item x="27"/>
        <item x="1"/>
        <item x="37"/>
        <item x="25"/>
        <item x="4"/>
        <item x="32"/>
        <item x="35"/>
        <item x="10"/>
        <item x="41"/>
        <item x="43"/>
        <item x="15"/>
        <item x="24"/>
        <item x="23"/>
        <item x="21"/>
        <item x="3"/>
        <item x="47"/>
        <item x="8"/>
        <item x="6"/>
        <item x="11"/>
        <item x="30"/>
        <item x="19"/>
        <item x="20"/>
        <item x="46"/>
        <item x="17"/>
        <item x="18"/>
        <item x="42"/>
        <item x="38"/>
        <item x="36"/>
        <item x="26"/>
        <item x="22"/>
        <item x="28"/>
        <item x="39"/>
        <item x="0"/>
        <item x="40"/>
        <item x="5"/>
        <item x="7"/>
        <item x="33"/>
        <item x="2"/>
        <item x="12"/>
        <item x="16"/>
        <item x="29"/>
        <item x="14"/>
        <item x="48"/>
        <item t="default"/>
      </items>
    </pivotField>
    <pivotField showAll="0"/>
    <pivotField showAll="0"/>
    <pivotField showAll="0"/>
  </pivotFields>
  <rowFields count="1">
    <field x="2"/>
  </rowFields>
  <rowItems count="3">
    <i>
      <x/>
    </i>
    <i>
      <x v="1"/>
    </i>
    <i t="grand">
      <x/>
    </i>
  </rowItems>
  <colItems count="1">
    <i/>
  </colItems>
  <dataFields count="1">
    <dataField name="Sum of Sales" fld="19" baseField="0" baseItem="0"/>
  </dataFields>
  <formats count="12">
    <format dxfId="23">
      <pivotArea type="all" dataOnly="0" outline="0" fieldPosition="0"/>
    </format>
    <format dxfId="22">
      <pivotArea outline="0" collapsedLevelsAreSubtotals="1" fieldPosition="0"/>
    </format>
    <format dxfId="21">
      <pivotArea field="2" type="button" dataOnly="0" labelOnly="1" outline="0" axis="axisRow" fieldPosition="0"/>
    </format>
    <format dxfId="20">
      <pivotArea dataOnly="0" labelOnly="1" fieldPosition="0">
        <references count="1">
          <reference field="2" count="0"/>
        </references>
      </pivotArea>
    </format>
    <format dxfId="19">
      <pivotArea dataOnly="0" labelOnly="1" grandRow="1" outline="0" fieldPosition="0"/>
    </format>
    <format dxfId="18">
      <pivotArea dataOnly="0" labelOnly="1" outline="0" fieldPosition="0"/>
    </format>
    <format dxfId="17">
      <pivotArea type="all" dataOnly="0" outline="0" fieldPosition="0"/>
    </format>
    <format dxfId="16">
      <pivotArea outline="0" collapsedLevelsAreSubtotals="1" fieldPosition="0"/>
    </format>
    <format dxfId="15">
      <pivotArea field="2" type="button" dataOnly="0" labelOnly="1" outline="0" axis="axisRow" fieldPosition="0"/>
    </format>
    <format dxfId="14">
      <pivotArea dataOnly="0" labelOnly="1" fieldPosition="0">
        <references count="1">
          <reference field="2" count="0"/>
        </references>
      </pivotArea>
    </format>
    <format dxfId="13">
      <pivotArea dataOnly="0" labelOnly="1" grandRow="1" outline="0" fieldPosition="0"/>
    </format>
    <format dxfId="12">
      <pivotArea dataOnly="0" labelOnly="1" outline="0" fieldPosition="0"/>
    </format>
  </formats>
  <chartFormats count="2">
    <chartFormat chart="6" format="2"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200-000003000000}" name="PivotTable15" cacheId="0" applyNumberFormats="0" applyBorderFormats="0" applyFontFormats="0" applyPatternFormats="0" applyAlignmentFormats="0" applyWidthHeightFormats="1" dataCaption="Values" updatedVersion="8" minRefreshableVersion="3" useAutoFormatting="1" createdVersion="8" indent="0" outline="1" outlineData="1" multipleFieldFilters="0" chartFormat="11" rowHeaderCaption="Discount">
  <location ref="A23:B25" firstHeaderRow="1" firstDataRow="1" firstDataCol="1"/>
  <pivotFields count="23">
    <pivotField showAll="0"/>
    <pivotField showAll="0"/>
    <pivotField showAll="0"/>
    <pivotField showAll="0">
      <items count="6">
        <item h="1" x="2"/>
        <item h="1" x="1"/>
        <item x="0"/>
        <item x="3"/>
        <item x="4"/>
        <item t="default"/>
      </items>
    </pivotField>
    <pivotField showAll="0"/>
    <pivotField showAll="0"/>
    <pivotField showAll="0"/>
    <pivotField showAll="0"/>
    <pivotField showAll="0"/>
    <pivotField showAll="0"/>
    <pivotField showAll="0"/>
    <pivotField showAll="0"/>
    <pivotField showAll="0"/>
    <pivotField showAll="0"/>
    <pivotField axis="axisRow" showAll="0" sortType="descending">
      <items count="6">
        <item h="1" x="2"/>
        <item h="1" x="3"/>
        <item x="0"/>
        <item h="1" x="1"/>
        <item h="1" x="4"/>
        <item t="default"/>
      </items>
      <autoSortScope>
        <pivotArea dataOnly="0" outline="0" fieldPosition="0">
          <references count="1">
            <reference field="4294967294" count="1" selected="0">
              <x v="0"/>
            </reference>
          </references>
        </pivotArea>
      </autoSortScope>
    </pivotField>
    <pivotField showAll="0"/>
    <pivotField showAll="0">
      <items count="5">
        <item h="1" x="0"/>
        <item x="1"/>
        <item h="1" x="2"/>
        <item h="1" x="3"/>
        <item t="default"/>
      </items>
    </pivotField>
    <pivotField showAll="0"/>
    <pivotField showAll="0"/>
    <pivotField dataField="1" showAll="0">
      <items count="50">
        <item x="34"/>
        <item x="31"/>
        <item x="45"/>
        <item x="9"/>
        <item x="13"/>
        <item x="44"/>
        <item x="27"/>
        <item x="1"/>
        <item x="37"/>
        <item x="25"/>
        <item x="4"/>
        <item x="32"/>
        <item x="35"/>
        <item x="10"/>
        <item x="41"/>
        <item x="43"/>
        <item x="15"/>
        <item x="24"/>
        <item x="23"/>
        <item x="21"/>
        <item x="3"/>
        <item x="47"/>
        <item x="8"/>
        <item x="6"/>
        <item x="11"/>
        <item x="30"/>
        <item x="19"/>
        <item x="20"/>
        <item x="46"/>
        <item x="17"/>
        <item x="18"/>
        <item x="42"/>
        <item x="38"/>
        <item x="36"/>
        <item x="26"/>
        <item x="22"/>
        <item x="28"/>
        <item x="39"/>
        <item x="0"/>
        <item x="40"/>
        <item x="5"/>
        <item x="7"/>
        <item x="33"/>
        <item x="2"/>
        <item x="12"/>
        <item x="16"/>
        <item x="29"/>
        <item x="14"/>
        <item x="48"/>
        <item t="default"/>
      </items>
    </pivotField>
    <pivotField showAll="0"/>
    <pivotField showAll="0"/>
    <pivotField showAll="0"/>
  </pivotFields>
  <rowFields count="1">
    <field x="14"/>
  </rowFields>
  <rowItems count="2">
    <i>
      <x v="2"/>
    </i>
    <i t="grand">
      <x/>
    </i>
  </rowItems>
  <colItems count="1">
    <i/>
  </colItems>
  <dataFields count="1">
    <dataField name="Sum of Sales" fld="19" baseField="0" baseItem="0"/>
  </dataFields>
  <formats count="12">
    <format dxfId="35">
      <pivotArea type="all" dataOnly="0" outline="0" fieldPosition="0"/>
    </format>
    <format dxfId="34">
      <pivotArea outline="0" collapsedLevelsAreSubtotals="1" fieldPosition="0"/>
    </format>
    <format dxfId="33">
      <pivotArea field="14" type="button" dataOnly="0" labelOnly="1" outline="0" axis="axisRow" fieldPosition="0"/>
    </format>
    <format dxfId="32">
      <pivotArea dataOnly="0" labelOnly="1" fieldPosition="0">
        <references count="1">
          <reference field="14" count="0"/>
        </references>
      </pivotArea>
    </format>
    <format dxfId="31">
      <pivotArea dataOnly="0" labelOnly="1" grandRow="1" outline="0" fieldPosition="0"/>
    </format>
    <format dxfId="30">
      <pivotArea dataOnly="0" labelOnly="1" outline="0" fieldPosition="0"/>
    </format>
    <format dxfId="29">
      <pivotArea type="all" dataOnly="0" outline="0" fieldPosition="0"/>
    </format>
    <format dxfId="28">
      <pivotArea outline="0" collapsedLevelsAreSubtotals="1" fieldPosition="0"/>
    </format>
    <format dxfId="27">
      <pivotArea field="14" type="button" dataOnly="0" labelOnly="1" outline="0" axis="axisRow" fieldPosition="0"/>
    </format>
    <format dxfId="26">
      <pivotArea dataOnly="0" labelOnly="1" fieldPosition="0">
        <references count="1">
          <reference field="14" count="0"/>
        </references>
      </pivotArea>
    </format>
    <format dxfId="25">
      <pivotArea dataOnly="0" labelOnly="1" grandRow="1" outline="0" fieldPosition="0"/>
    </format>
    <format dxfId="24">
      <pivotArea dataOnly="0" labelOnly="1" outline="0"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200-000002000000}" name="PivotTable14" cacheId="0" applyNumberFormats="0" applyBorderFormats="0" applyFontFormats="0" applyPatternFormats="0" applyAlignmentFormats="0" applyWidthHeightFormats="1" dataCaption="Values" updatedVersion="8" minRefreshableVersion="3" useAutoFormatting="1" createdVersion="8" indent="0" outline="1" outlineData="1" multipleFieldFilters="0" chartFormat="24" rowHeaderCaption="Discount">
  <location ref="A13:B15" firstHeaderRow="1" firstDataRow="1" firstDataCol="1"/>
  <pivotFields count="23">
    <pivotField showAll="0"/>
    <pivotField showAll="0"/>
    <pivotField showAll="0"/>
    <pivotField showAll="0">
      <items count="6">
        <item h="1" x="2"/>
        <item h="1" x="1"/>
        <item x="0"/>
        <item x="3"/>
        <item x="4"/>
        <item t="default"/>
      </items>
    </pivotField>
    <pivotField showAll="0"/>
    <pivotField showAll="0"/>
    <pivotField showAll="0"/>
    <pivotField showAll="0"/>
    <pivotField showAll="0"/>
    <pivotField showAll="0"/>
    <pivotField showAll="0"/>
    <pivotField showAll="0"/>
    <pivotField showAll="0"/>
    <pivotField showAll="0"/>
    <pivotField showAll="0">
      <items count="6">
        <item h="1" x="2"/>
        <item h="1" x="3"/>
        <item x="0"/>
        <item h="1" x="1"/>
        <item h="1" x="4"/>
        <item t="default"/>
      </items>
    </pivotField>
    <pivotField showAll="0"/>
    <pivotField axis="axisRow" showAll="0" sortType="descending">
      <items count="5">
        <item h="1" x="0"/>
        <item x="1"/>
        <item h="1" x="2"/>
        <item h="1" x="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dataField="1" showAll="0">
      <items count="50">
        <item x="14"/>
        <item x="2"/>
        <item x="6"/>
        <item x="33"/>
        <item x="39"/>
        <item x="28"/>
        <item x="35"/>
        <item x="45"/>
        <item x="34"/>
        <item x="11"/>
        <item x="31"/>
        <item x="9"/>
        <item x="19"/>
        <item x="37"/>
        <item x="13"/>
        <item x="23"/>
        <item x="10"/>
        <item x="4"/>
        <item x="27"/>
        <item x="44"/>
        <item x="25"/>
        <item x="43"/>
        <item x="41"/>
        <item x="1"/>
        <item x="22"/>
        <item x="32"/>
        <item x="20"/>
        <item x="15"/>
        <item x="8"/>
        <item x="7"/>
        <item x="42"/>
        <item x="3"/>
        <item x="18"/>
        <item x="47"/>
        <item x="24"/>
        <item x="21"/>
        <item x="40"/>
        <item x="17"/>
        <item x="30"/>
        <item x="46"/>
        <item x="0"/>
        <item x="26"/>
        <item x="36"/>
        <item x="38"/>
        <item x="29"/>
        <item x="16"/>
        <item x="5"/>
        <item x="12"/>
        <item x="48"/>
        <item t="default"/>
      </items>
    </pivotField>
  </pivotFields>
  <rowFields count="1">
    <field x="16"/>
  </rowFields>
  <rowItems count="2">
    <i>
      <x v="1"/>
    </i>
    <i t="grand">
      <x/>
    </i>
  </rowItems>
  <colItems count="1">
    <i/>
  </colItems>
  <dataFields count="1">
    <dataField name="Sum of Profit" fld="22" baseField="16" baseItem="0"/>
  </dataFields>
  <formats count="13">
    <format dxfId="48">
      <pivotArea dataOnly="0" labelOnly="1" outline="0" fieldPosition="0"/>
    </format>
    <format dxfId="47">
      <pivotArea type="all" dataOnly="0" outline="0" fieldPosition="0"/>
    </format>
    <format dxfId="46">
      <pivotArea outline="0" collapsedLevelsAreSubtotals="1" fieldPosition="0"/>
    </format>
    <format dxfId="45">
      <pivotArea field="16" type="button" dataOnly="0" labelOnly="1" outline="0" axis="axisRow" fieldPosition="0"/>
    </format>
    <format dxfId="44">
      <pivotArea dataOnly="0" labelOnly="1" fieldPosition="0">
        <references count="1">
          <reference field="16" count="0"/>
        </references>
      </pivotArea>
    </format>
    <format dxfId="43">
      <pivotArea dataOnly="0" labelOnly="1" grandRow="1" outline="0" fieldPosition="0"/>
    </format>
    <format dxfId="42">
      <pivotArea dataOnly="0" labelOnly="1" outline="0" fieldPosition="0"/>
    </format>
    <format dxfId="41">
      <pivotArea type="all" dataOnly="0" outline="0" fieldPosition="0"/>
    </format>
    <format dxfId="40">
      <pivotArea outline="0" collapsedLevelsAreSubtotals="1" fieldPosition="0"/>
    </format>
    <format dxfId="39">
      <pivotArea field="16" type="button" dataOnly="0" labelOnly="1" outline="0" axis="axisRow" fieldPosition="0"/>
    </format>
    <format dxfId="38">
      <pivotArea dataOnly="0" labelOnly="1" fieldPosition="0">
        <references count="1">
          <reference field="16" count="0"/>
        </references>
      </pivotArea>
    </format>
    <format dxfId="37">
      <pivotArea dataOnly="0" labelOnly="1" grandRow="1" outline="0" fieldPosition="0"/>
    </format>
    <format dxfId="36">
      <pivotArea dataOnly="0" labelOnly="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200-000001000000}" name="PivotTable13" cacheId="0" applyNumberFormats="0" applyBorderFormats="0" applyFontFormats="0" applyPatternFormats="0" applyAlignmentFormats="0" applyWidthHeightFormats="1" dataCaption="Values" updatedVersion="8" minRefreshableVersion="3" useAutoFormatting="1" createdVersion="8" indent="0" outline="1" outlineData="1" multipleFieldFilters="0" chartFormat="17" rowHeaderCaption="Discount">
  <location ref="A3:B5" firstHeaderRow="1" firstDataRow="1" firstDataCol="1"/>
  <pivotFields count="23">
    <pivotField showAll="0"/>
    <pivotField showAll="0"/>
    <pivotField showAll="0"/>
    <pivotField showAll="0">
      <items count="6">
        <item h="1" x="2"/>
        <item h="1" x="1"/>
        <item x="0"/>
        <item x="3"/>
        <item x="4"/>
        <item t="default"/>
      </items>
    </pivotField>
    <pivotField showAll="0"/>
    <pivotField showAll="0"/>
    <pivotField showAll="0"/>
    <pivotField showAll="0"/>
    <pivotField showAll="0"/>
    <pivotField showAll="0"/>
    <pivotField showAll="0"/>
    <pivotField showAll="0"/>
    <pivotField showAll="0"/>
    <pivotField showAll="0"/>
    <pivotField showAll="0">
      <items count="6">
        <item h="1" x="2"/>
        <item h="1" x="3"/>
        <item x="0"/>
        <item h="1" x="1"/>
        <item h="1" x="4"/>
        <item t="default"/>
      </items>
    </pivotField>
    <pivotField showAll="0"/>
    <pivotField axis="axisRow" showAll="0" sortType="descending">
      <items count="5">
        <item h="1" x="0"/>
        <item x="1"/>
        <item h="1" x="2"/>
        <item h="1" x="3"/>
        <item t="default"/>
      </items>
      <autoSortScope>
        <pivotArea dataOnly="0" outline="0" fieldPosition="0">
          <references count="1">
            <reference field="4294967294" count="1" selected="0">
              <x v="0"/>
            </reference>
          </references>
        </pivotArea>
      </autoSortScope>
    </pivotField>
    <pivotField showAll="0"/>
    <pivotField showAll="0"/>
    <pivotField dataField="1" showAll="0">
      <items count="50">
        <item x="34"/>
        <item x="31"/>
        <item x="45"/>
        <item x="9"/>
        <item x="13"/>
        <item x="44"/>
        <item x="27"/>
        <item x="1"/>
        <item x="37"/>
        <item x="25"/>
        <item x="4"/>
        <item x="32"/>
        <item x="35"/>
        <item x="10"/>
        <item x="41"/>
        <item x="43"/>
        <item x="15"/>
        <item x="24"/>
        <item x="23"/>
        <item x="21"/>
        <item x="3"/>
        <item x="47"/>
        <item x="8"/>
        <item x="6"/>
        <item x="11"/>
        <item x="30"/>
        <item x="19"/>
        <item x="20"/>
        <item x="46"/>
        <item x="17"/>
        <item x="18"/>
        <item x="42"/>
        <item x="38"/>
        <item x="36"/>
        <item x="26"/>
        <item x="22"/>
        <item x="28"/>
        <item x="39"/>
        <item x="0"/>
        <item x="40"/>
        <item x="5"/>
        <item x="7"/>
        <item x="33"/>
        <item x="2"/>
        <item x="12"/>
        <item x="16"/>
        <item x="29"/>
        <item x="14"/>
        <item x="48"/>
        <item t="default"/>
      </items>
    </pivotField>
    <pivotField showAll="0"/>
    <pivotField showAll="0"/>
    <pivotField showAll="0"/>
  </pivotFields>
  <rowFields count="1">
    <field x="16"/>
  </rowFields>
  <rowItems count="2">
    <i>
      <x v="1"/>
    </i>
    <i t="grand">
      <x/>
    </i>
  </rowItems>
  <colItems count="1">
    <i/>
  </colItems>
  <dataFields count="1">
    <dataField name="Sum of Sales" fld="19" baseField="16" baseItem="0"/>
  </dataFields>
  <formats count="12">
    <format dxfId="60">
      <pivotArea type="all" dataOnly="0" outline="0" fieldPosition="0"/>
    </format>
    <format dxfId="59">
      <pivotArea outline="0" collapsedLevelsAreSubtotals="1" fieldPosition="0"/>
    </format>
    <format dxfId="58">
      <pivotArea field="16" type="button" dataOnly="0" labelOnly="1" outline="0" axis="axisRow" fieldPosition="0"/>
    </format>
    <format dxfId="57">
      <pivotArea dataOnly="0" labelOnly="1" fieldPosition="0">
        <references count="1">
          <reference field="16" count="0"/>
        </references>
      </pivotArea>
    </format>
    <format dxfId="56">
      <pivotArea dataOnly="0" labelOnly="1" grandRow="1" outline="0" fieldPosition="0"/>
    </format>
    <format dxfId="55">
      <pivotArea dataOnly="0" labelOnly="1" outline="0" fieldPosition="0"/>
    </format>
    <format dxfId="54">
      <pivotArea type="all" dataOnly="0" outline="0" fieldPosition="0"/>
    </format>
    <format dxfId="53">
      <pivotArea outline="0" collapsedLevelsAreSubtotals="1" fieldPosition="0"/>
    </format>
    <format dxfId="52">
      <pivotArea field="16" type="button" dataOnly="0" labelOnly="1" outline="0" axis="axisRow" fieldPosition="0"/>
    </format>
    <format dxfId="51">
      <pivotArea dataOnly="0" labelOnly="1" fieldPosition="0">
        <references count="1">
          <reference field="16" count="0"/>
        </references>
      </pivotArea>
    </format>
    <format dxfId="50">
      <pivotArea dataOnly="0" labelOnly="1" grandRow="1" outline="0" fieldPosition="0"/>
    </format>
    <format dxfId="49">
      <pivotArea dataOnly="0" labelOnly="1" outline="0" fieldPosition="0"/>
    </format>
  </formats>
  <chartFormats count="1">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8B34A212-18A6-4C08-B907-F6C0D251ABED}" sourceName="Year">
  <pivotTables>
    <pivotTable tabId="7" name="PivotTable14"/>
    <pivotTable tabId="7" name="PivotTable13"/>
    <pivotTable tabId="7" name="PivotTable15"/>
  </pivotTables>
  <data>
    <tabular pivotCacheId="1003594867">
      <items count="5">
        <i x="1"/>
        <i x="0" s="1"/>
        <i x="3" s="1"/>
        <i x="2" nd="1"/>
        <i x="4"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492AE554-2D65-4D8B-AD1B-7C5F75D89C70}" sourceName="Region">
  <pivotTables>
    <pivotTable tabId="7" name="PivotTable14"/>
    <pivotTable tabId="7" name="PivotTable13"/>
    <pivotTable tabId="7" name="PivotTable15"/>
  </pivotTables>
  <data>
    <tabular pivotCacheId="1003594867">
      <items count="5">
        <i x="2"/>
        <i x="3"/>
        <i x="0" s="1"/>
        <i x="1"/>
        <i x="4"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9EFD7DE5-11BB-49B1-A958-C1F5B9B8C9DD}" sourceName="Category">
  <pivotTables>
    <pivotTable tabId="7" name="PivotTable14"/>
    <pivotTable tabId="7" name="PivotTable13"/>
    <pivotTable tabId="7" name="PivotTable15"/>
  </pivotTables>
  <data>
    <tabular pivotCacheId="1003594867">
      <items count="4">
        <i x="0"/>
        <i x="1" s="1"/>
        <i x="2" nd="1"/>
        <i x="3"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807EF1C7-5768-497C-8063-4602513D1127}" cache="Slicer_Year" caption="Year" rowHeight="241300"/>
  <slicer name="Region 1" xr10:uid="{C6462B00-F414-4299-8048-C8E0D295F048}" cache="Slicer_Region" caption="Region" rowHeight="241300"/>
  <slicer name="Category 1" xr10:uid="{3D72E11D-61B6-4F53-A189-C8508B3FDDD8}" cache="Slicer_Category" caption="Category"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49"/>
  <sheetViews>
    <sheetView workbookViewId="0">
      <selection activeCell="C1" sqref="C1:C1048576"/>
    </sheetView>
  </sheetViews>
  <sheetFormatPr defaultColWidth="9.140625" defaultRowHeight="15"/>
  <cols>
    <col min="1" max="2" width="9.140625" style="7"/>
    <col min="3" max="4" width="10.42578125" style="9" customWidth="1"/>
    <col min="5" max="7" width="9.140625" style="7"/>
    <col min="8" max="8" width="11.140625" style="7" customWidth="1"/>
    <col min="9" max="16" width="9.140625" style="7"/>
    <col min="17" max="17" width="13.7109375" style="7" customWidth="1"/>
    <col min="18" max="18" width="9.7109375" style="10" customWidth="1"/>
    <col min="19" max="19" width="9.140625" style="7"/>
    <col min="20" max="20" width="9.140625" style="11"/>
    <col min="21" max="21" width="11.28515625" style="12" customWidth="1"/>
    <col min="22" max="16384" width="9.140625" style="7"/>
  </cols>
  <sheetData>
    <row r="1" spans="1:21" ht="47.25">
      <c r="A1" s="13" t="s">
        <v>0</v>
      </c>
      <c r="B1" s="13" t="s">
        <v>1</v>
      </c>
      <c r="C1" s="15" t="s">
        <v>2</v>
      </c>
      <c r="D1" s="15" t="s">
        <v>3</v>
      </c>
      <c r="E1" s="13" t="s">
        <v>4</v>
      </c>
      <c r="F1" s="13" t="s">
        <v>5</v>
      </c>
      <c r="G1" s="13" t="s">
        <v>6</v>
      </c>
      <c r="H1" s="13" t="s">
        <v>7</v>
      </c>
      <c r="I1" s="13" t="s">
        <v>8</v>
      </c>
      <c r="J1" s="13" t="s">
        <v>9</v>
      </c>
      <c r="K1" s="13" t="s">
        <v>10</v>
      </c>
      <c r="L1" s="13" t="s">
        <v>11</v>
      </c>
      <c r="M1" s="13" t="s">
        <v>12</v>
      </c>
      <c r="N1" s="13" t="s">
        <v>13</v>
      </c>
      <c r="O1" s="13" t="s">
        <v>14</v>
      </c>
      <c r="P1" s="13" t="s">
        <v>15</v>
      </c>
      <c r="Q1" s="13" t="s">
        <v>16</v>
      </c>
      <c r="R1" s="20" t="s">
        <v>17</v>
      </c>
      <c r="S1" s="13" t="s">
        <v>18</v>
      </c>
      <c r="T1" s="21" t="s">
        <v>19</v>
      </c>
      <c r="U1" s="22" t="s">
        <v>20</v>
      </c>
    </row>
    <row r="2" spans="1:21" ht="60">
      <c r="A2" s="16">
        <v>1</v>
      </c>
      <c r="B2" s="17" t="s">
        <v>21</v>
      </c>
      <c r="C2" s="19">
        <v>41528</v>
      </c>
      <c r="D2" s="19">
        <v>41619</v>
      </c>
      <c r="E2" s="17" t="s">
        <v>22</v>
      </c>
      <c r="F2" s="17" t="s">
        <v>23</v>
      </c>
      <c r="G2" s="17" t="s">
        <v>24</v>
      </c>
      <c r="H2" s="17" t="s">
        <v>25</v>
      </c>
      <c r="I2" s="17" t="s">
        <v>26</v>
      </c>
      <c r="J2" s="17" t="s">
        <v>27</v>
      </c>
      <c r="K2" s="17" t="s">
        <v>28</v>
      </c>
      <c r="L2" s="16">
        <v>42420</v>
      </c>
      <c r="M2" s="17" t="s">
        <v>29</v>
      </c>
      <c r="N2" s="17" t="s">
        <v>30</v>
      </c>
      <c r="O2" s="17" t="s">
        <v>31</v>
      </c>
      <c r="P2" s="17" t="s">
        <v>32</v>
      </c>
      <c r="Q2" s="17" t="s">
        <v>33</v>
      </c>
      <c r="R2" s="23">
        <v>261.95999999999998</v>
      </c>
      <c r="S2" s="16">
        <v>2</v>
      </c>
      <c r="T2" s="24">
        <v>0</v>
      </c>
      <c r="U2" s="25">
        <v>41.913600000000002</v>
      </c>
    </row>
    <row r="3" spans="1:21" ht="75">
      <c r="A3" s="16">
        <v>3</v>
      </c>
      <c r="B3" s="17" t="s">
        <v>34</v>
      </c>
      <c r="C3" s="19">
        <v>41529</v>
      </c>
      <c r="D3" s="19" t="s">
        <v>35</v>
      </c>
      <c r="E3" s="17" t="s">
        <v>22</v>
      </c>
      <c r="F3" s="17" t="s">
        <v>36</v>
      </c>
      <c r="G3" s="17" t="s">
        <v>37</v>
      </c>
      <c r="H3" s="17" t="s">
        <v>38</v>
      </c>
      <c r="I3" s="17" t="s">
        <v>26</v>
      </c>
      <c r="J3" s="17" t="s">
        <v>39</v>
      </c>
      <c r="K3" s="17" t="s">
        <v>40</v>
      </c>
      <c r="L3" s="16">
        <v>90036</v>
      </c>
      <c r="M3" s="17" t="s">
        <v>41</v>
      </c>
      <c r="N3" s="17" t="s">
        <v>42</v>
      </c>
      <c r="O3" s="17" t="s">
        <v>43</v>
      </c>
      <c r="P3" s="17" t="s">
        <v>44</v>
      </c>
      <c r="Q3" s="17" t="s">
        <v>45</v>
      </c>
      <c r="R3" s="23">
        <v>14.62</v>
      </c>
      <c r="S3" s="16">
        <v>2</v>
      </c>
      <c r="T3" s="24">
        <v>0</v>
      </c>
      <c r="U3" s="25">
        <v>6.8714000000000004</v>
      </c>
    </row>
    <row r="4" spans="1:21" ht="75">
      <c r="A4" s="16">
        <v>4</v>
      </c>
      <c r="B4" s="17" t="s">
        <v>46</v>
      </c>
      <c r="C4" s="19">
        <v>41530</v>
      </c>
      <c r="D4" s="19" t="s">
        <v>47</v>
      </c>
      <c r="E4" s="17" t="s">
        <v>48</v>
      </c>
      <c r="F4" s="17" t="s">
        <v>49</v>
      </c>
      <c r="G4" s="17" t="s">
        <v>50</v>
      </c>
      <c r="H4" s="17" t="s">
        <v>25</v>
      </c>
      <c r="I4" s="17" t="s">
        <v>26</v>
      </c>
      <c r="J4" s="17" t="s">
        <v>51</v>
      </c>
      <c r="K4" s="17" t="s">
        <v>52</v>
      </c>
      <c r="L4" s="16">
        <v>33311</v>
      </c>
      <c r="M4" s="17" t="s">
        <v>29</v>
      </c>
      <c r="N4" s="17" t="s">
        <v>53</v>
      </c>
      <c r="O4" s="17" t="s">
        <v>31</v>
      </c>
      <c r="P4" s="17" t="s">
        <v>54</v>
      </c>
      <c r="Q4" s="17" t="s">
        <v>55</v>
      </c>
      <c r="R4" s="23">
        <v>957.57749999999999</v>
      </c>
      <c r="S4" s="16">
        <v>5</v>
      </c>
      <c r="T4" s="24">
        <v>0.45</v>
      </c>
      <c r="U4" s="25">
        <v>-383.03100000000001</v>
      </c>
    </row>
    <row r="5" spans="1:21" ht="90">
      <c r="A5" s="16">
        <v>6</v>
      </c>
      <c r="B5" s="17" t="s">
        <v>56</v>
      </c>
      <c r="C5" s="19">
        <v>41531</v>
      </c>
      <c r="D5" s="19" t="s">
        <v>57</v>
      </c>
      <c r="E5" s="17" t="s">
        <v>48</v>
      </c>
      <c r="F5" s="17" t="s">
        <v>58</v>
      </c>
      <c r="G5" s="17" t="s">
        <v>59</v>
      </c>
      <c r="H5" s="17" t="s">
        <v>25</v>
      </c>
      <c r="I5" s="17" t="s">
        <v>26</v>
      </c>
      <c r="J5" s="17" t="s">
        <v>39</v>
      </c>
      <c r="K5" s="17" t="s">
        <v>40</v>
      </c>
      <c r="L5" s="16">
        <v>90032</v>
      </c>
      <c r="M5" s="17" t="s">
        <v>41</v>
      </c>
      <c r="N5" s="17" t="s">
        <v>60</v>
      </c>
      <c r="O5" s="17" t="s">
        <v>31</v>
      </c>
      <c r="P5" s="17" t="s">
        <v>61</v>
      </c>
      <c r="Q5" s="17" t="s">
        <v>62</v>
      </c>
      <c r="R5" s="23">
        <v>48.86</v>
      </c>
      <c r="S5" s="16">
        <v>7</v>
      </c>
      <c r="T5" s="24">
        <v>0</v>
      </c>
      <c r="U5" s="25">
        <v>14.1694</v>
      </c>
    </row>
    <row r="6" spans="1:21" ht="30">
      <c r="A6" s="16">
        <v>13</v>
      </c>
      <c r="B6" s="17" t="s">
        <v>63</v>
      </c>
      <c r="C6" s="19">
        <v>41532</v>
      </c>
      <c r="D6" s="19" t="s">
        <v>64</v>
      </c>
      <c r="E6" s="17" t="s">
        <v>48</v>
      </c>
      <c r="F6" s="17" t="s">
        <v>65</v>
      </c>
      <c r="G6" s="17" t="s">
        <v>66</v>
      </c>
      <c r="H6" s="17" t="s">
        <v>25</v>
      </c>
      <c r="I6" s="17" t="s">
        <v>26</v>
      </c>
      <c r="J6" s="17" t="s">
        <v>67</v>
      </c>
      <c r="K6" s="17" t="s">
        <v>68</v>
      </c>
      <c r="L6" s="16">
        <v>28027</v>
      </c>
      <c r="M6" s="17" t="s">
        <v>29</v>
      </c>
      <c r="N6" s="17" t="s">
        <v>69</v>
      </c>
      <c r="O6" s="17" t="s">
        <v>43</v>
      </c>
      <c r="P6" s="17" t="s">
        <v>70</v>
      </c>
      <c r="Q6" s="17" t="s">
        <v>71</v>
      </c>
      <c r="R6" s="23">
        <v>15.552</v>
      </c>
      <c r="S6" s="16">
        <v>3</v>
      </c>
      <c r="T6" s="24">
        <v>0.2</v>
      </c>
      <c r="U6" s="25">
        <v>5.4432</v>
      </c>
    </row>
    <row r="7" spans="1:21" ht="60">
      <c r="A7" s="16">
        <v>14</v>
      </c>
      <c r="B7" s="17" t="s">
        <v>72</v>
      </c>
      <c r="C7" s="19">
        <v>41533</v>
      </c>
      <c r="D7" s="19">
        <v>41590</v>
      </c>
      <c r="E7" s="17" t="s">
        <v>48</v>
      </c>
      <c r="F7" s="17" t="s">
        <v>73</v>
      </c>
      <c r="G7" s="17" t="s">
        <v>74</v>
      </c>
      <c r="H7" s="17" t="s">
        <v>25</v>
      </c>
      <c r="I7" s="17" t="s">
        <v>26</v>
      </c>
      <c r="J7" s="17" t="s">
        <v>75</v>
      </c>
      <c r="K7" s="17" t="s">
        <v>76</v>
      </c>
      <c r="L7" s="16">
        <v>98103</v>
      </c>
      <c r="M7" s="17" t="s">
        <v>41</v>
      </c>
      <c r="N7" s="17" t="s">
        <v>77</v>
      </c>
      <c r="O7" s="17" t="s">
        <v>43</v>
      </c>
      <c r="P7" s="17" t="s">
        <v>78</v>
      </c>
      <c r="Q7" s="17" t="s">
        <v>79</v>
      </c>
      <c r="R7" s="23">
        <v>407.976</v>
      </c>
      <c r="S7" s="16">
        <v>3</v>
      </c>
      <c r="T7" s="24">
        <v>0.2</v>
      </c>
      <c r="U7" s="25">
        <v>132.59219999999999</v>
      </c>
    </row>
    <row r="8" spans="1:21" ht="105">
      <c r="A8" s="16">
        <v>15</v>
      </c>
      <c r="B8" s="17" t="s">
        <v>80</v>
      </c>
      <c r="C8" s="19">
        <v>41534</v>
      </c>
      <c r="D8" s="19" t="s">
        <v>81</v>
      </c>
      <c r="E8" s="17" t="s">
        <v>48</v>
      </c>
      <c r="F8" s="17" t="s">
        <v>82</v>
      </c>
      <c r="G8" s="17" t="s">
        <v>83</v>
      </c>
      <c r="H8" s="17" t="s">
        <v>84</v>
      </c>
      <c r="I8" s="17" t="s">
        <v>26</v>
      </c>
      <c r="J8" s="17" t="s">
        <v>85</v>
      </c>
      <c r="K8" s="17" t="s">
        <v>86</v>
      </c>
      <c r="L8" s="16">
        <v>76106</v>
      </c>
      <c r="M8" s="17" t="s">
        <v>87</v>
      </c>
      <c r="N8" s="17" t="s">
        <v>88</v>
      </c>
      <c r="O8" s="17" t="s">
        <v>43</v>
      </c>
      <c r="P8" s="17" t="s">
        <v>89</v>
      </c>
      <c r="Q8" s="17" t="s">
        <v>90</v>
      </c>
      <c r="R8" s="23">
        <v>68.81</v>
      </c>
      <c r="S8" s="16">
        <v>5</v>
      </c>
      <c r="T8" s="24">
        <v>0.8</v>
      </c>
      <c r="U8" s="25">
        <v>-123.858</v>
      </c>
    </row>
    <row r="9" spans="1:21" ht="90">
      <c r="A9" s="16">
        <v>17</v>
      </c>
      <c r="B9" s="17" t="s">
        <v>91</v>
      </c>
      <c r="C9" s="19">
        <v>41535</v>
      </c>
      <c r="D9" s="19" t="s">
        <v>92</v>
      </c>
      <c r="E9" s="17" t="s">
        <v>48</v>
      </c>
      <c r="F9" s="17" t="s">
        <v>93</v>
      </c>
      <c r="G9" s="17" t="s">
        <v>94</v>
      </c>
      <c r="H9" s="17" t="s">
        <v>25</v>
      </c>
      <c r="I9" s="17" t="s">
        <v>26</v>
      </c>
      <c r="J9" s="17" t="s">
        <v>95</v>
      </c>
      <c r="K9" s="17" t="s">
        <v>96</v>
      </c>
      <c r="L9" s="16">
        <v>53711</v>
      </c>
      <c r="M9" s="17" t="s">
        <v>87</v>
      </c>
      <c r="N9" s="17" t="s">
        <v>97</v>
      </c>
      <c r="O9" s="17" t="s">
        <v>43</v>
      </c>
      <c r="P9" s="17" t="s">
        <v>98</v>
      </c>
      <c r="Q9" s="17" t="s">
        <v>99</v>
      </c>
      <c r="R9" s="23">
        <v>665.88</v>
      </c>
      <c r="S9" s="16">
        <v>6</v>
      </c>
      <c r="T9" s="24">
        <v>0</v>
      </c>
      <c r="U9" s="25">
        <v>13.317600000000001</v>
      </c>
    </row>
    <row r="10" spans="1:21" ht="45">
      <c r="A10" s="16">
        <v>18</v>
      </c>
      <c r="B10" s="17" t="s">
        <v>100</v>
      </c>
      <c r="C10" s="19">
        <v>41536</v>
      </c>
      <c r="D10" s="19" t="s">
        <v>101</v>
      </c>
      <c r="E10" s="17" t="s">
        <v>22</v>
      </c>
      <c r="F10" s="17" t="s">
        <v>102</v>
      </c>
      <c r="G10" s="17" t="s">
        <v>103</v>
      </c>
      <c r="H10" s="17" t="s">
        <v>25</v>
      </c>
      <c r="I10" s="17" t="s">
        <v>26</v>
      </c>
      <c r="J10" s="17" t="s">
        <v>104</v>
      </c>
      <c r="K10" s="17" t="s">
        <v>105</v>
      </c>
      <c r="L10" s="16">
        <v>84084</v>
      </c>
      <c r="M10" s="17" t="s">
        <v>41</v>
      </c>
      <c r="N10" s="17" t="s">
        <v>106</v>
      </c>
      <c r="O10" s="17" t="s">
        <v>43</v>
      </c>
      <c r="P10" s="17" t="s">
        <v>98</v>
      </c>
      <c r="Q10" s="17" t="s">
        <v>107</v>
      </c>
      <c r="R10" s="23">
        <v>55.5</v>
      </c>
      <c r="S10" s="16">
        <v>2</v>
      </c>
      <c r="T10" s="24">
        <v>0</v>
      </c>
      <c r="U10" s="25">
        <v>9.99</v>
      </c>
    </row>
    <row r="11" spans="1:21" ht="30">
      <c r="A11" s="16">
        <v>19</v>
      </c>
      <c r="B11" s="17" t="s">
        <v>108</v>
      </c>
      <c r="C11" s="19">
        <v>41537</v>
      </c>
      <c r="D11" s="19">
        <v>40552</v>
      </c>
      <c r="E11" s="17" t="s">
        <v>22</v>
      </c>
      <c r="F11" s="17" t="s">
        <v>109</v>
      </c>
      <c r="G11" s="17" t="s">
        <v>110</v>
      </c>
      <c r="H11" s="17" t="s">
        <v>25</v>
      </c>
      <c r="I11" s="17" t="s">
        <v>26</v>
      </c>
      <c r="J11" s="17" t="s">
        <v>111</v>
      </c>
      <c r="K11" s="17" t="s">
        <v>40</v>
      </c>
      <c r="L11" s="16">
        <v>94109</v>
      </c>
      <c r="M11" s="17" t="s">
        <v>41</v>
      </c>
      <c r="N11" s="17" t="s">
        <v>112</v>
      </c>
      <c r="O11" s="17" t="s">
        <v>43</v>
      </c>
      <c r="P11" s="17" t="s">
        <v>113</v>
      </c>
      <c r="Q11" s="17" t="s">
        <v>114</v>
      </c>
      <c r="R11" s="23">
        <v>8.56</v>
      </c>
      <c r="S11" s="16">
        <v>2</v>
      </c>
      <c r="T11" s="24">
        <v>0</v>
      </c>
      <c r="U11" s="25">
        <v>2.4824000000000002</v>
      </c>
    </row>
    <row r="12" spans="1:21" ht="30">
      <c r="A12" s="16">
        <v>22</v>
      </c>
      <c r="B12" s="17" t="s">
        <v>115</v>
      </c>
      <c r="C12" s="19">
        <v>41538</v>
      </c>
      <c r="D12" s="19" t="s">
        <v>116</v>
      </c>
      <c r="E12" s="17" t="s">
        <v>48</v>
      </c>
      <c r="F12" s="17" t="s">
        <v>117</v>
      </c>
      <c r="G12" s="17" t="s">
        <v>118</v>
      </c>
      <c r="H12" s="17" t="s">
        <v>38</v>
      </c>
      <c r="I12" s="17" t="s">
        <v>26</v>
      </c>
      <c r="J12" s="17" t="s">
        <v>119</v>
      </c>
      <c r="K12" s="17" t="s">
        <v>120</v>
      </c>
      <c r="L12" s="16">
        <v>68025</v>
      </c>
      <c r="M12" s="17" t="s">
        <v>87</v>
      </c>
      <c r="N12" s="17" t="s">
        <v>121</v>
      </c>
      <c r="O12" s="17" t="s">
        <v>43</v>
      </c>
      <c r="P12" s="17" t="s">
        <v>113</v>
      </c>
      <c r="Q12" s="17" t="s">
        <v>122</v>
      </c>
      <c r="R12" s="23">
        <v>19.46</v>
      </c>
      <c r="S12" s="16">
        <v>7</v>
      </c>
      <c r="T12" s="24">
        <v>0</v>
      </c>
      <c r="U12" s="25">
        <v>5.0595999999999997</v>
      </c>
    </row>
    <row r="13" spans="1:21" ht="45">
      <c r="A13" s="16">
        <v>24</v>
      </c>
      <c r="B13" s="17" t="s">
        <v>123</v>
      </c>
      <c r="C13" s="19">
        <v>41539</v>
      </c>
      <c r="D13" s="19" t="s">
        <v>124</v>
      </c>
      <c r="E13" s="17" t="s">
        <v>22</v>
      </c>
      <c r="F13" s="17" t="s">
        <v>125</v>
      </c>
      <c r="G13" s="17" t="s">
        <v>126</v>
      </c>
      <c r="H13" s="17" t="s">
        <v>25</v>
      </c>
      <c r="I13" s="17" t="s">
        <v>26</v>
      </c>
      <c r="J13" s="17" t="s">
        <v>127</v>
      </c>
      <c r="K13" s="17" t="s">
        <v>128</v>
      </c>
      <c r="L13" s="16">
        <v>19140</v>
      </c>
      <c r="M13" s="17" t="s">
        <v>129</v>
      </c>
      <c r="N13" s="17" t="s">
        <v>130</v>
      </c>
      <c r="O13" s="17" t="s">
        <v>31</v>
      </c>
      <c r="P13" s="17" t="s">
        <v>131</v>
      </c>
      <c r="Q13" s="17" t="s">
        <v>132</v>
      </c>
      <c r="R13" s="23">
        <v>71.372</v>
      </c>
      <c r="S13" s="16">
        <v>2</v>
      </c>
      <c r="T13" s="24">
        <v>0.3</v>
      </c>
      <c r="U13" s="25">
        <v>-1.0196000000000001</v>
      </c>
    </row>
    <row r="14" spans="1:21" ht="75">
      <c r="A14" s="16">
        <v>25</v>
      </c>
      <c r="B14" s="17" t="s">
        <v>133</v>
      </c>
      <c r="C14" s="19">
        <v>41540</v>
      </c>
      <c r="D14" s="19" t="s">
        <v>134</v>
      </c>
      <c r="E14" s="17" t="s">
        <v>48</v>
      </c>
      <c r="F14" s="17" t="s">
        <v>135</v>
      </c>
      <c r="G14" s="17" t="s">
        <v>136</v>
      </c>
      <c r="H14" s="17" t="s">
        <v>25</v>
      </c>
      <c r="I14" s="17" t="s">
        <v>26</v>
      </c>
      <c r="J14" s="17" t="s">
        <v>137</v>
      </c>
      <c r="K14" s="17" t="s">
        <v>105</v>
      </c>
      <c r="L14" s="16">
        <v>84057</v>
      </c>
      <c r="M14" s="17" t="s">
        <v>41</v>
      </c>
      <c r="N14" s="17" t="s">
        <v>138</v>
      </c>
      <c r="O14" s="17" t="s">
        <v>31</v>
      </c>
      <c r="P14" s="17" t="s">
        <v>54</v>
      </c>
      <c r="Q14" s="17" t="s">
        <v>55</v>
      </c>
      <c r="R14" s="23">
        <v>1044.6300000000001</v>
      </c>
      <c r="S14" s="16">
        <v>3</v>
      </c>
      <c r="T14" s="24">
        <v>0</v>
      </c>
      <c r="U14" s="25">
        <v>240.26490000000001</v>
      </c>
    </row>
    <row r="15" spans="1:21" ht="45">
      <c r="A15" s="16">
        <v>26</v>
      </c>
      <c r="B15" s="17" t="s">
        <v>139</v>
      </c>
      <c r="C15" s="19">
        <v>41541</v>
      </c>
      <c r="D15" s="19" t="s">
        <v>140</v>
      </c>
      <c r="E15" s="17" t="s">
        <v>22</v>
      </c>
      <c r="F15" s="17" t="s">
        <v>141</v>
      </c>
      <c r="G15" s="17" t="s">
        <v>142</v>
      </c>
      <c r="H15" s="17" t="s">
        <v>25</v>
      </c>
      <c r="I15" s="17" t="s">
        <v>26</v>
      </c>
      <c r="J15" s="17" t="s">
        <v>39</v>
      </c>
      <c r="K15" s="17" t="s">
        <v>40</v>
      </c>
      <c r="L15" s="16">
        <v>90049</v>
      </c>
      <c r="M15" s="17" t="s">
        <v>41</v>
      </c>
      <c r="N15" s="17" t="s">
        <v>143</v>
      </c>
      <c r="O15" s="17" t="s">
        <v>43</v>
      </c>
      <c r="P15" s="17" t="s">
        <v>78</v>
      </c>
      <c r="Q15" s="17" t="s">
        <v>144</v>
      </c>
      <c r="R15" s="23">
        <v>11.648</v>
      </c>
      <c r="S15" s="16">
        <v>2</v>
      </c>
      <c r="T15" s="24">
        <v>0.2</v>
      </c>
      <c r="U15" s="25">
        <v>4.2224000000000004</v>
      </c>
    </row>
    <row r="16" spans="1:21" ht="90">
      <c r="A16" s="16">
        <v>28</v>
      </c>
      <c r="B16" s="17" t="s">
        <v>145</v>
      </c>
      <c r="C16" s="19">
        <v>41542</v>
      </c>
      <c r="D16" s="19" t="s">
        <v>146</v>
      </c>
      <c r="E16" s="17" t="s">
        <v>48</v>
      </c>
      <c r="F16" s="17" t="s">
        <v>147</v>
      </c>
      <c r="G16" s="17" t="s">
        <v>148</v>
      </c>
      <c r="H16" s="17" t="s">
        <v>25</v>
      </c>
      <c r="I16" s="17" t="s">
        <v>26</v>
      </c>
      <c r="J16" s="17" t="s">
        <v>127</v>
      </c>
      <c r="K16" s="17" t="s">
        <v>128</v>
      </c>
      <c r="L16" s="16">
        <v>19140</v>
      </c>
      <c r="M16" s="17" t="s">
        <v>129</v>
      </c>
      <c r="N16" s="17" t="s">
        <v>149</v>
      </c>
      <c r="O16" s="17" t="s">
        <v>31</v>
      </c>
      <c r="P16" s="17" t="s">
        <v>32</v>
      </c>
      <c r="Q16" s="17" t="s">
        <v>150</v>
      </c>
      <c r="R16" s="23">
        <v>3083.43</v>
      </c>
      <c r="S16" s="16">
        <v>7</v>
      </c>
      <c r="T16" s="24">
        <v>0.5</v>
      </c>
      <c r="U16" s="25">
        <v>-1665.0522000000001</v>
      </c>
    </row>
    <row r="17" spans="1:21" ht="30">
      <c r="A17" s="16">
        <v>35</v>
      </c>
      <c r="B17" s="17" t="s">
        <v>151</v>
      </c>
      <c r="C17" s="19">
        <v>41543</v>
      </c>
      <c r="D17" s="19" t="s">
        <v>152</v>
      </c>
      <c r="E17" s="17" t="s">
        <v>22</v>
      </c>
      <c r="F17" s="17" t="s">
        <v>153</v>
      </c>
      <c r="G17" s="17" t="s">
        <v>154</v>
      </c>
      <c r="H17" s="17" t="s">
        <v>84</v>
      </c>
      <c r="I17" s="17" t="s">
        <v>26</v>
      </c>
      <c r="J17" s="17" t="s">
        <v>155</v>
      </c>
      <c r="K17" s="17" t="s">
        <v>86</v>
      </c>
      <c r="L17" s="16">
        <v>77095</v>
      </c>
      <c r="M17" s="17" t="s">
        <v>87</v>
      </c>
      <c r="N17" s="17" t="s">
        <v>156</v>
      </c>
      <c r="O17" s="17" t="s">
        <v>43</v>
      </c>
      <c r="P17" s="17" t="s">
        <v>70</v>
      </c>
      <c r="Q17" s="17" t="s">
        <v>157</v>
      </c>
      <c r="R17" s="23">
        <v>29.472000000000001</v>
      </c>
      <c r="S17" s="16">
        <v>3</v>
      </c>
      <c r="T17" s="24">
        <v>0.2</v>
      </c>
      <c r="U17" s="25">
        <v>9.9467999999999996</v>
      </c>
    </row>
    <row r="18" spans="1:21" ht="30">
      <c r="A18" s="16">
        <v>36</v>
      </c>
      <c r="B18" s="17" t="s">
        <v>158</v>
      </c>
      <c r="C18" s="19">
        <v>41544</v>
      </c>
      <c r="D18" s="19">
        <v>41590</v>
      </c>
      <c r="E18" s="17" t="s">
        <v>159</v>
      </c>
      <c r="F18" s="17" t="s">
        <v>160</v>
      </c>
      <c r="G18" s="17" t="s">
        <v>161</v>
      </c>
      <c r="H18" s="17" t="s">
        <v>38</v>
      </c>
      <c r="I18" s="17" t="s">
        <v>26</v>
      </c>
      <c r="J18" s="17" t="s">
        <v>162</v>
      </c>
      <c r="K18" s="17" t="s">
        <v>86</v>
      </c>
      <c r="L18" s="16">
        <v>75080</v>
      </c>
      <c r="M18" s="17" t="s">
        <v>87</v>
      </c>
      <c r="N18" s="17" t="s">
        <v>163</v>
      </c>
      <c r="O18" s="17" t="s">
        <v>164</v>
      </c>
      <c r="P18" s="17" t="s">
        <v>165</v>
      </c>
      <c r="Q18" s="17" t="s">
        <v>166</v>
      </c>
      <c r="R18" s="23">
        <v>1097.5440000000001</v>
      </c>
      <c r="S18" s="16">
        <v>7</v>
      </c>
      <c r="T18" s="24">
        <v>0.2</v>
      </c>
      <c r="U18" s="25">
        <v>123.47369999999999</v>
      </c>
    </row>
    <row r="19" spans="1:21" ht="75">
      <c r="A19" s="16">
        <v>38</v>
      </c>
      <c r="B19" s="17" t="s">
        <v>167</v>
      </c>
      <c r="C19" s="19">
        <v>41545</v>
      </c>
      <c r="D19" s="19" t="s">
        <v>168</v>
      </c>
      <c r="E19" s="17" t="s">
        <v>48</v>
      </c>
      <c r="F19" s="17" t="s">
        <v>169</v>
      </c>
      <c r="G19" s="17" t="s">
        <v>170</v>
      </c>
      <c r="H19" s="17" t="s">
        <v>84</v>
      </c>
      <c r="I19" s="17" t="s">
        <v>26</v>
      </c>
      <c r="J19" s="17" t="s">
        <v>155</v>
      </c>
      <c r="K19" s="17" t="s">
        <v>86</v>
      </c>
      <c r="L19" s="16">
        <v>77041</v>
      </c>
      <c r="M19" s="17" t="s">
        <v>87</v>
      </c>
      <c r="N19" s="17" t="s">
        <v>171</v>
      </c>
      <c r="O19" s="17" t="s">
        <v>43</v>
      </c>
      <c r="P19" s="17" t="s">
        <v>172</v>
      </c>
      <c r="Q19" s="17" t="s">
        <v>173</v>
      </c>
      <c r="R19" s="23">
        <v>113.328</v>
      </c>
      <c r="S19" s="16">
        <v>9</v>
      </c>
      <c r="T19" s="24">
        <v>0.2</v>
      </c>
      <c r="U19" s="25">
        <v>35.414999999999999</v>
      </c>
    </row>
    <row r="20" spans="1:21" ht="30">
      <c r="A20" s="16">
        <v>42</v>
      </c>
      <c r="B20" s="17" t="s">
        <v>174</v>
      </c>
      <c r="C20" s="19">
        <v>41546</v>
      </c>
      <c r="D20" s="19" t="s">
        <v>175</v>
      </c>
      <c r="E20" s="17" t="s">
        <v>48</v>
      </c>
      <c r="F20" s="17" t="s">
        <v>176</v>
      </c>
      <c r="G20" s="17" t="s">
        <v>177</v>
      </c>
      <c r="H20" s="17" t="s">
        <v>38</v>
      </c>
      <c r="I20" s="17" t="s">
        <v>26</v>
      </c>
      <c r="J20" s="17" t="s">
        <v>178</v>
      </c>
      <c r="K20" s="17" t="s">
        <v>179</v>
      </c>
      <c r="L20" s="16">
        <v>60540</v>
      </c>
      <c r="M20" s="17" t="s">
        <v>87</v>
      </c>
      <c r="N20" s="17" t="s">
        <v>180</v>
      </c>
      <c r="O20" s="17" t="s">
        <v>164</v>
      </c>
      <c r="P20" s="17" t="s">
        <v>165</v>
      </c>
      <c r="Q20" s="17" t="s">
        <v>181</v>
      </c>
      <c r="R20" s="23">
        <v>147.16800000000001</v>
      </c>
      <c r="S20" s="16">
        <v>4</v>
      </c>
      <c r="T20" s="24">
        <v>0.2</v>
      </c>
      <c r="U20" s="25">
        <v>16.5564</v>
      </c>
    </row>
    <row r="21" spans="1:21" ht="60">
      <c r="A21" s="16">
        <v>43</v>
      </c>
      <c r="B21" s="17" t="s">
        <v>182</v>
      </c>
      <c r="C21" s="19">
        <v>41547</v>
      </c>
      <c r="D21" s="19" t="s">
        <v>183</v>
      </c>
      <c r="E21" s="17" t="s">
        <v>48</v>
      </c>
      <c r="F21" s="17" t="s">
        <v>184</v>
      </c>
      <c r="G21" s="17" t="s">
        <v>185</v>
      </c>
      <c r="H21" s="17" t="s">
        <v>38</v>
      </c>
      <c r="I21" s="17" t="s">
        <v>26</v>
      </c>
      <c r="J21" s="17" t="s">
        <v>39</v>
      </c>
      <c r="K21" s="17" t="s">
        <v>40</v>
      </c>
      <c r="L21" s="16">
        <v>90049</v>
      </c>
      <c r="M21" s="17" t="s">
        <v>41</v>
      </c>
      <c r="N21" s="17" t="s">
        <v>186</v>
      </c>
      <c r="O21" s="17" t="s">
        <v>43</v>
      </c>
      <c r="P21" s="17" t="s">
        <v>98</v>
      </c>
      <c r="Q21" s="17" t="s">
        <v>187</v>
      </c>
      <c r="R21" s="23">
        <v>77.88</v>
      </c>
      <c r="S21" s="16">
        <v>2</v>
      </c>
      <c r="T21" s="24">
        <v>0</v>
      </c>
      <c r="U21" s="25">
        <v>3.8940000000000001</v>
      </c>
    </row>
    <row r="22" spans="1:21" ht="105">
      <c r="A22" s="16">
        <v>44</v>
      </c>
      <c r="B22" s="17" t="s">
        <v>188</v>
      </c>
      <c r="C22" s="19">
        <v>41548</v>
      </c>
      <c r="D22" s="19" t="s">
        <v>189</v>
      </c>
      <c r="E22" s="17" t="s">
        <v>48</v>
      </c>
      <c r="F22" s="17" t="s">
        <v>190</v>
      </c>
      <c r="G22" s="17" t="s">
        <v>191</v>
      </c>
      <c r="H22" s="17" t="s">
        <v>38</v>
      </c>
      <c r="I22" s="17" t="s">
        <v>26</v>
      </c>
      <c r="J22" s="17" t="s">
        <v>192</v>
      </c>
      <c r="K22" s="17" t="s">
        <v>52</v>
      </c>
      <c r="L22" s="16">
        <v>32935</v>
      </c>
      <c r="M22" s="17" t="s">
        <v>29</v>
      </c>
      <c r="N22" s="17" t="s">
        <v>193</v>
      </c>
      <c r="O22" s="17" t="s">
        <v>43</v>
      </c>
      <c r="P22" s="17" t="s">
        <v>98</v>
      </c>
      <c r="Q22" s="17" t="s">
        <v>194</v>
      </c>
      <c r="R22" s="23">
        <v>95.616</v>
      </c>
      <c r="S22" s="16">
        <v>2</v>
      </c>
      <c r="T22" s="24">
        <v>0.2</v>
      </c>
      <c r="U22" s="25">
        <v>9.5616000000000003</v>
      </c>
    </row>
    <row r="23" spans="1:21" ht="75">
      <c r="A23" s="16">
        <v>45</v>
      </c>
      <c r="B23" s="17" t="s">
        <v>195</v>
      </c>
      <c r="C23" s="19">
        <v>41549</v>
      </c>
      <c r="D23" s="19" t="s">
        <v>196</v>
      </c>
      <c r="E23" s="17" t="s">
        <v>159</v>
      </c>
      <c r="F23" s="17" t="s">
        <v>197</v>
      </c>
      <c r="G23" s="17" t="s">
        <v>198</v>
      </c>
      <c r="H23" s="17" t="s">
        <v>38</v>
      </c>
      <c r="I23" s="17" t="s">
        <v>26</v>
      </c>
      <c r="J23" s="17" t="s">
        <v>199</v>
      </c>
      <c r="K23" s="17" t="s">
        <v>200</v>
      </c>
      <c r="L23" s="16">
        <v>55122</v>
      </c>
      <c r="M23" s="17" t="s">
        <v>87</v>
      </c>
      <c r="N23" s="17" t="s">
        <v>201</v>
      </c>
      <c r="O23" s="17" t="s">
        <v>164</v>
      </c>
      <c r="P23" s="17" t="s">
        <v>202</v>
      </c>
      <c r="Q23" s="17" t="s">
        <v>203</v>
      </c>
      <c r="R23" s="23">
        <v>45.98</v>
      </c>
      <c r="S23" s="16">
        <v>2</v>
      </c>
      <c r="T23" s="24">
        <v>0</v>
      </c>
      <c r="U23" s="25">
        <v>19.7714</v>
      </c>
    </row>
    <row r="24" spans="1:21" ht="90">
      <c r="A24" s="16">
        <v>47</v>
      </c>
      <c r="B24" s="17" t="s">
        <v>204</v>
      </c>
      <c r="C24" s="19">
        <v>41550</v>
      </c>
      <c r="D24" s="19" t="s">
        <v>205</v>
      </c>
      <c r="E24" s="17" t="s">
        <v>22</v>
      </c>
      <c r="F24" s="17" t="s">
        <v>206</v>
      </c>
      <c r="G24" s="17" t="s">
        <v>207</v>
      </c>
      <c r="H24" s="17" t="s">
        <v>25</v>
      </c>
      <c r="I24" s="17" t="s">
        <v>26</v>
      </c>
      <c r="J24" s="17" t="s">
        <v>208</v>
      </c>
      <c r="K24" s="17" t="s">
        <v>209</v>
      </c>
      <c r="L24" s="16">
        <v>48185</v>
      </c>
      <c r="M24" s="17" t="s">
        <v>87</v>
      </c>
      <c r="N24" s="17" t="s">
        <v>210</v>
      </c>
      <c r="O24" s="17" t="s">
        <v>43</v>
      </c>
      <c r="P24" s="17" t="s">
        <v>98</v>
      </c>
      <c r="Q24" s="17" t="s">
        <v>211</v>
      </c>
      <c r="R24" s="23">
        <v>211.96</v>
      </c>
      <c r="S24" s="16">
        <v>4</v>
      </c>
      <c r="T24" s="24">
        <v>0</v>
      </c>
      <c r="U24" s="25">
        <v>8.4784000000000006</v>
      </c>
    </row>
    <row r="25" spans="1:21" ht="75">
      <c r="A25" s="16">
        <v>48</v>
      </c>
      <c r="B25" s="17" t="s">
        <v>212</v>
      </c>
      <c r="C25" s="19">
        <v>41551</v>
      </c>
      <c r="D25" s="19" t="s">
        <v>213</v>
      </c>
      <c r="E25" s="17" t="s">
        <v>48</v>
      </c>
      <c r="F25" s="17" t="s">
        <v>214</v>
      </c>
      <c r="G25" s="17" t="s">
        <v>215</v>
      </c>
      <c r="H25" s="17" t="s">
        <v>25</v>
      </c>
      <c r="I25" s="17" t="s">
        <v>26</v>
      </c>
      <c r="J25" s="17" t="s">
        <v>216</v>
      </c>
      <c r="K25" s="17" t="s">
        <v>217</v>
      </c>
      <c r="L25" s="16">
        <v>19901</v>
      </c>
      <c r="M25" s="17" t="s">
        <v>129</v>
      </c>
      <c r="N25" s="17" t="s">
        <v>218</v>
      </c>
      <c r="O25" s="17" t="s">
        <v>164</v>
      </c>
      <c r="P25" s="17" t="s">
        <v>202</v>
      </c>
      <c r="Q25" s="17" t="s">
        <v>219</v>
      </c>
      <c r="R25" s="23">
        <v>45</v>
      </c>
      <c r="S25" s="16">
        <v>3</v>
      </c>
      <c r="T25" s="24">
        <v>0</v>
      </c>
      <c r="U25" s="25">
        <v>4.95</v>
      </c>
    </row>
    <row r="26" spans="1:21" ht="90">
      <c r="A26" s="16">
        <v>50</v>
      </c>
      <c r="B26" s="17" t="s">
        <v>220</v>
      </c>
      <c r="C26" s="19">
        <v>41552</v>
      </c>
      <c r="D26" s="19" t="s">
        <v>221</v>
      </c>
      <c r="E26" s="17" t="s">
        <v>48</v>
      </c>
      <c r="F26" s="17" t="s">
        <v>222</v>
      </c>
      <c r="G26" s="17" t="s">
        <v>223</v>
      </c>
      <c r="H26" s="17" t="s">
        <v>25</v>
      </c>
      <c r="I26" s="17" t="s">
        <v>26</v>
      </c>
      <c r="J26" s="17" t="s">
        <v>224</v>
      </c>
      <c r="K26" s="17" t="s">
        <v>225</v>
      </c>
      <c r="L26" s="16">
        <v>47150</v>
      </c>
      <c r="M26" s="17" t="s">
        <v>87</v>
      </c>
      <c r="N26" s="17" t="s">
        <v>226</v>
      </c>
      <c r="O26" s="17" t="s">
        <v>43</v>
      </c>
      <c r="P26" s="17" t="s">
        <v>78</v>
      </c>
      <c r="Q26" s="17" t="s">
        <v>227</v>
      </c>
      <c r="R26" s="23">
        <v>38.22</v>
      </c>
      <c r="S26" s="16">
        <v>6</v>
      </c>
      <c r="T26" s="24">
        <v>0</v>
      </c>
      <c r="U26" s="25">
        <v>17.9634</v>
      </c>
    </row>
    <row r="27" spans="1:21" ht="30">
      <c r="A27" s="16">
        <v>54</v>
      </c>
      <c r="B27" s="17" t="s">
        <v>228</v>
      </c>
      <c r="C27" s="19">
        <v>41553</v>
      </c>
      <c r="D27" s="19" t="s">
        <v>229</v>
      </c>
      <c r="E27" s="17" t="s">
        <v>48</v>
      </c>
      <c r="F27" s="17" t="s">
        <v>230</v>
      </c>
      <c r="G27" s="17" t="s">
        <v>231</v>
      </c>
      <c r="H27" s="17" t="s">
        <v>38</v>
      </c>
      <c r="I27" s="17" t="s">
        <v>26</v>
      </c>
      <c r="J27" s="17" t="s">
        <v>232</v>
      </c>
      <c r="K27" s="17" t="s">
        <v>233</v>
      </c>
      <c r="L27" s="16">
        <v>10024</v>
      </c>
      <c r="M27" s="17" t="s">
        <v>129</v>
      </c>
      <c r="N27" s="17" t="s">
        <v>234</v>
      </c>
      <c r="O27" s="17" t="s">
        <v>43</v>
      </c>
      <c r="P27" s="17" t="s">
        <v>235</v>
      </c>
      <c r="Q27" s="17" t="s">
        <v>236</v>
      </c>
      <c r="R27" s="23">
        <v>15.26</v>
      </c>
      <c r="S27" s="16">
        <v>7</v>
      </c>
      <c r="T27" s="24">
        <v>0</v>
      </c>
      <c r="U27" s="25">
        <v>6.2565999999999997</v>
      </c>
    </row>
    <row r="28" spans="1:21" ht="45">
      <c r="A28" s="16">
        <v>56</v>
      </c>
      <c r="B28" s="17" t="s">
        <v>237</v>
      </c>
      <c r="C28" s="19">
        <v>41554</v>
      </c>
      <c r="D28" s="19" t="s">
        <v>238</v>
      </c>
      <c r="E28" s="17" t="s">
        <v>159</v>
      </c>
      <c r="F28" s="17" t="s">
        <v>239</v>
      </c>
      <c r="G28" s="17" t="s">
        <v>240</v>
      </c>
      <c r="H28" s="17" t="s">
        <v>25</v>
      </c>
      <c r="I28" s="17" t="s">
        <v>26</v>
      </c>
      <c r="J28" s="17" t="s">
        <v>241</v>
      </c>
      <c r="K28" s="17" t="s">
        <v>233</v>
      </c>
      <c r="L28" s="16">
        <v>12180</v>
      </c>
      <c r="M28" s="17" t="s">
        <v>129</v>
      </c>
      <c r="N28" s="17" t="s">
        <v>242</v>
      </c>
      <c r="O28" s="17" t="s">
        <v>43</v>
      </c>
      <c r="P28" s="17" t="s">
        <v>98</v>
      </c>
      <c r="Q28" s="17" t="s">
        <v>243</v>
      </c>
      <c r="R28" s="23">
        <v>208.56</v>
      </c>
      <c r="S28" s="16">
        <v>6</v>
      </c>
      <c r="T28" s="24">
        <v>0</v>
      </c>
      <c r="U28" s="25">
        <v>52.14</v>
      </c>
    </row>
    <row r="29" spans="1:21" ht="75">
      <c r="A29" s="16">
        <v>63</v>
      </c>
      <c r="B29" s="17" t="s">
        <v>244</v>
      </c>
      <c r="C29" s="19">
        <v>41555</v>
      </c>
      <c r="D29" s="19" t="s">
        <v>245</v>
      </c>
      <c r="E29" s="17" t="s">
        <v>48</v>
      </c>
      <c r="F29" s="17" t="s">
        <v>246</v>
      </c>
      <c r="G29" s="17" t="s">
        <v>247</v>
      </c>
      <c r="H29" s="17" t="s">
        <v>25</v>
      </c>
      <c r="I29" s="17" t="s">
        <v>26</v>
      </c>
      <c r="J29" s="17" t="s">
        <v>39</v>
      </c>
      <c r="K29" s="17" t="s">
        <v>40</v>
      </c>
      <c r="L29" s="16">
        <v>90004</v>
      </c>
      <c r="M29" s="17" t="s">
        <v>41</v>
      </c>
      <c r="N29" s="17" t="s">
        <v>248</v>
      </c>
      <c r="O29" s="17" t="s">
        <v>164</v>
      </c>
      <c r="P29" s="17" t="s">
        <v>202</v>
      </c>
      <c r="Q29" s="17" t="s">
        <v>249</v>
      </c>
      <c r="R29" s="23">
        <v>13.98</v>
      </c>
      <c r="S29" s="16">
        <v>2</v>
      </c>
      <c r="T29" s="24">
        <v>0</v>
      </c>
      <c r="U29" s="25">
        <v>6.1512000000000002</v>
      </c>
    </row>
    <row r="30" spans="1:21" ht="60">
      <c r="A30" s="16">
        <v>67</v>
      </c>
      <c r="B30" s="17" t="s">
        <v>250</v>
      </c>
      <c r="C30" s="19">
        <v>41556</v>
      </c>
      <c r="D30" s="19">
        <v>41034</v>
      </c>
      <c r="E30" s="17" t="s">
        <v>48</v>
      </c>
      <c r="F30" s="17" t="s">
        <v>251</v>
      </c>
      <c r="G30" s="17" t="s">
        <v>252</v>
      </c>
      <c r="H30" s="17" t="s">
        <v>84</v>
      </c>
      <c r="I30" s="17" t="s">
        <v>26</v>
      </c>
      <c r="J30" s="17" t="s">
        <v>253</v>
      </c>
      <c r="K30" s="17" t="s">
        <v>179</v>
      </c>
      <c r="L30" s="16">
        <v>60610</v>
      </c>
      <c r="M30" s="17" t="s">
        <v>87</v>
      </c>
      <c r="N30" s="17" t="s">
        <v>254</v>
      </c>
      <c r="O30" s="17" t="s">
        <v>31</v>
      </c>
      <c r="P30" s="17" t="s">
        <v>131</v>
      </c>
      <c r="Q30" s="17" t="s">
        <v>255</v>
      </c>
      <c r="R30" s="23">
        <v>213.11500000000001</v>
      </c>
      <c r="S30" s="16">
        <v>5</v>
      </c>
      <c r="T30" s="24">
        <v>0.3</v>
      </c>
      <c r="U30" s="25">
        <v>-15.2225</v>
      </c>
    </row>
    <row r="31" spans="1:21" ht="90">
      <c r="A31" s="16">
        <v>68</v>
      </c>
      <c r="B31" s="17" t="s">
        <v>256</v>
      </c>
      <c r="C31" s="19">
        <v>41557</v>
      </c>
      <c r="D31" s="19">
        <v>40828</v>
      </c>
      <c r="E31" s="17" t="s">
        <v>48</v>
      </c>
      <c r="F31" s="17" t="s">
        <v>257</v>
      </c>
      <c r="G31" s="17" t="s">
        <v>258</v>
      </c>
      <c r="H31" s="17" t="s">
        <v>38</v>
      </c>
      <c r="I31" s="17" t="s">
        <v>26</v>
      </c>
      <c r="J31" s="17" t="s">
        <v>259</v>
      </c>
      <c r="K31" s="17" t="s">
        <v>260</v>
      </c>
      <c r="L31" s="16">
        <v>85234</v>
      </c>
      <c r="M31" s="17" t="s">
        <v>41</v>
      </c>
      <c r="N31" s="17" t="s">
        <v>261</v>
      </c>
      <c r="O31" s="17" t="s">
        <v>43</v>
      </c>
      <c r="P31" s="17" t="s">
        <v>113</v>
      </c>
      <c r="Q31" s="17" t="s">
        <v>262</v>
      </c>
      <c r="R31" s="23">
        <v>1113.0239999999999</v>
      </c>
      <c r="S31" s="16">
        <v>8</v>
      </c>
      <c r="T31" s="24">
        <v>0.2</v>
      </c>
      <c r="U31" s="25">
        <v>111.30240000000001</v>
      </c>
    </row>
    <row r="32" spans="1:21" ht="90">
      <c r="A32" s="16">
        <v>70</v>
      </c>
      <c r="B32" s="17" t="s">
        <v>263</v>
      </c>
      <c r="C32" s="19">
        <v>41558</v>
      </c>
      <c r="D32" s="19">
        <v>41461</v>
      </c>
      <c r="E32" s="17" t="s">
        <v>159</v>
      </c>
      <c r="F32" s="17" t="s">
        <v>264</v>
      </c>
      <c r="G32" s="17" t="s">
        <v>265</v>
      </c>
      <c r="H32" s="17" t="s">
        <v>25</v>
      </c>
      <c r="I32" s="17" t="s">
        <v>26</v>
      </c>
      <c r="J32" s="17" t="s">
        <v>266</v>
      </c>
      <c r="K32" s="17" t="s">
        <v>267</v>
      </c>
      <c r="L32" s="16">
        <v>22153</v>
      </c>
      <c r="M32" s="17" t="s">
        <v>29</v>
      </c>
      <c r="N32" s="17" t="s">
        <v>268</v>
      </c>
      <c r="O32" s="17" t="s">
        <v>43</v>
      </c>
      <c r="P32" s="17" t="s">
        <v>70</v>
      </c>
      <c r="Q32" s="17" t="s">
        <v>269</v>
      </c>
      <c r="R32" s="23">
        <v>75.88</v>
      </c>
      <c r="S32" s="16">
        <v>2</v>
      </c>
      <c r="T32" s="24">
        <v>0</v>
      </c>
      <c r="U32" s="25">
        <v>35.663600000000002</v>
      </c>
    </row>
    <row r="33" spans="1:21" ht="90">
      <c r="A33" s="16">
        <v>71</v>
      </c>
      <c r="B33" s="17" t="s">
        <v>270</v>
      </c>
      <c r="C33" s="19">
        <v>41559</v>
      </c>
      <c r="D33" s="19" t="s">
        <v>271</v>
      </c>
      <c r="E33" s="17" t="s">
        <v>48</v>
      </c>
      <c r="F33" s="17" t="s">
        <v>272</v>
      </c>
      <c r="G33" s="17" t="s">
        <v>273</v>
      </c>
      <c r="H33" s="17" t="s">
        <v>25</v>
      </c>
      <c r="I33" s="17" t="s">
        <v>26</v>
      </c>
      <c r="J33" s="17" t="s">
        <v>232</v>
      </c>
      <c r="K33" s="17" t="s">
        <v>233</v>
      </c>
      <c r="L33" s="16">
        <v>10009</v>
      </c>
      <c r="M33" s="17" t="s">
        <v>129</v>
      </c>
      <c r="N33" s="17" t="s">
        <v>274</v>
      </c>
      <c r="O33" s="17" t="s">
        <v>43</v>
      </c>
      <c r="P33" s="17" t="s">
        <v>78</v>
      </c>
      <c r="Q33" s="17" t="s">
        <v>275</v>
      </c>
      <c r="R33" s="23">
        <v>4.6159999999999997</v>
      </c>
      <c r="S33" s="16">
        <v>1</v>
      </c>
      <c r="T33" s="24">
        <v>0.2</v>
      </c>
      <c r="U33" s="25">
        <v>1.7310000000000001</v>
      </c>
    </row>
    <row r="34" spans="1:21" ht="90">
      <c r="A34" s="16">
        <v>72</v>
      </c>
      <c r="B34" s="17" t="s">
        <v>276</v>
      </c>
      <c r="C34" s="19">
        <v>41560</v>
      </c>
      <c r="D34" s="19" t="s">
        <v>277</v>
      </c>
      <c r="E34" s="17" t="s">
        <v>22</v>
      </c>
      <c r="F34" s="17" t="s">
        <v>147</v>
      </c>
      <c r="G34" s="17" t="s">
        <v>148</v>
      </c>
      <c r="H34" s="17" t="s">
        <v>25</v>
      </c>
      <c r="I34" s="17" t="s">
        <v>26</v>
      </c>
      <c r="J34" s="17" t="s">
        <v>278</v>
      </c>
      <c r="K34" s="17" t="s">
        <v>209</v>
      </c>
      <c r="L34" s="16">
        <v>49201</v>
      </c>
      <c r="M34" s="17" t="s">
        <v>87</v>
      </c>
      <c r="N34" s="17" t="s">
        <v>279</v>
      </c>
      <c r="O34" s="17" t="s">
        <v>43</v>
      </c>
      <c r="P34" s="17" t="s">
        <v>70</v>
      </c>
      <c r="Q34" s="17" t="s">
        <v>280</v>
      </c>
      <c r="R34" s="23">
        <v>19.05</v>
      </c>
      <c r="S34" s="16">
        <v>3</v>
      </c>
      <c r="T34" s="24">
        <v>0</v>
      </c>
      <c r="U34" s="25">
        <v>8.7629999999999999</v>
      </c>
    </row>
    <row r="35" spans="1:21" ht="60">
      <c r="A35" s="16">
        <v>73</v>
      </c>
      <c r="B35" s="17" t="s">
        <v>281</v>
      </c>
      <c r="C35" s="19">
        <v>41561</v>
      </c>
      <c r="D35" s="19">
        <v>40944</v>
      </c>
      <c r="E35" s="17" t="s">
        <v>48</v>
      </c>
      <c r="F35" s="17" t="s">
        <v>282</v>
      </c>
      <c r="G35" s="17" t="s">
        <v>283</v>
      </c>
      <c r="H35" s="17" t="s">
        <v>25</v>
      </c>
      <c r="I35" s="17" t="s">
        <v>26</v>
      </c>
      <c r="J35" s="17" t="s">
        <v>284</v>
      </c>
      <c r="K35" s="17" t="s">
        <v>285</v>
      </c>
      <c r="L35" s="16">
        <v>38109</v>
      </c>
      <c r="M35" s="17" t="s">
        <v>29</v>
      </c>
      <c r="N35" s="17" t="s">
        <v>286</v>
      </c>
      <c r="O35" s="17" t="s">
        <v>31</v>
      </c>
      <c r="P35" s="17" t="s">
        <v>131</v>
      </c>
      <c r="Q35" s="17" t="s">
        <v>287</v>
      </c>
      <c r="R35" s="23">
        <v>831.93600000000004</v>
      </c>
      <c r="S35" s="16">
        <v>8</v>
      </c>
      <c r="T35" s="24">
        <v>0.2</v>
      </c>
      <c r="U35" s="25">
        <v>-114.3912</v>
      </c>
    </row>
    <row r="36" spans="1:21" ht="30">
      <c r="A36" s="16">
        <v>76</v>
      </c>
      <c r="B36" s="17" t="s">
        <v>288</v>
      </c>
      <c r="C36" s="19">
        <v>41562</v>
      </c>
      <c r="D36" s="19">
        <v>41985</v>
      </c>
      <c r="E36" s="17" t="s">
        <v>159</v>
      </c>
      <c r="F36" s="17" t="s">
        <v>289</v>
      </c>
      <c r="G36" s="17" t="s">
        <v>290</v>
      </c>
      <c r="H36" s="17" t="s">
        <v>38</v>
      </c>
      <c r="I36" s="17" t="s">
        <v>26</v>
      </c>
      <c r="J36" s="17" t="s">
        <v>155</v>
      </c>
      <c r="K36" s="17" t="s">
        <v>86</v>
      </c>
      <c r="L36" s="16">
        <v>77041</v>
      </c>
      <c r="M36" s="17" t="s">
        <v>87</v>
      </c>
      <c r="N36" s="17" t="s">
        <v>291</v>
      </c>
      <c r="O36" s="17" t="s">
        <v>43</v>
      </c>
      <c r="P36" s="17" t="s">
        <v>78</v>
      </c>
      <c r="Q36" s="17" t="s">
        <v>292</v>
      </c>
      <c r="R36" s="23">
        <v>1.248</v>
      </c>
      <c r="S36" s="16">
        <v>3</v>
      </c>
      <c r="T36" s="24">
        <v>0.8</v>
      </c>
      <c r="U36" s="25">
        <v>-1.9343999999999999</v>
      </c>
    </row>
    <row r="37" spans="1:21" ht="90">
      <c r="A37" s="16">
        <v>79</v>
      </c>
      <c r="B37" s="17" t="s">
        <v>293</v>
      </c>
      <c r="C37" s="19">
        <v>41563</v>
      </c>
      <c r="D37" s="19">
        <v>40555</v>
      </c>
      <c r="E37" s="17" t="s">
        <v>22</v>
      </c>
      <c r="F37" s="17" t="s">
        <v>282</v>
      </c>
      <c r="G37" s="17" t="s">
        <v>283</v>
      </c>
      <c r="H37" s="17" t="s">
        <v>25</v>
      </c>
      <c r="I37" s="17" t="s">
        <v>26</v>
      </c>
      <c r="J37" s="17" t="s">
        <v>155</v>
      </c>
      <c r="K37" s="17" t="s">
        <v>86</v>
      </c>
      <c r="L37" s="16">
        <v>77070</v>
      </c>
      <c r="M37" s="17" t="s">
        <v>87</v>
      </c>
      <c r="N37" s="17" t="s">
        <v>294</v>
      </c>
      <c r="O37" s="17" t="s">
        <v>31</v>
      </c>
      <c r="P37" s="17" t="s">
        <v>61</v>
      </c>
      <c r="Q37" s="17" t="s">
        <v>295</v>
      </c>
      <c r="R37" s="23">
        <v>19.3</v>
      </c>
      <c r="S37" s="16">
        <v>5</v>
      </c>
      <c r="T37" s="24">
        <v>0.6</v>
      </c>
      <c r="U37" s="25">
        <v>-14.475</v>
      </c>
    </row>
    <row r="38" spans="1:21" ht="60">
      <c r="A38" s="16">
        <v>80</v>
      </c>
      <c r="B38" s="17" t="s">
        <v>296</v>
      </c>
      <c r="C38" s="19">
        <v>41564</v>
      </c>
      <c r="D38" s="19" t="s">
        <v>297</v>
      </c>
      <c r="E38" s="17" t="s">
        <v>159</v>
      </c>
      <c r="F38" s="17" t="s">
        <v>298</v>
      </c>
      <c r="G38" s="17" t="s">
        <v>299</v>
      </c>
      <c r="H38" s="17" t="s">
        <v>38</v>
      </c>
      <c r="I38" s="17" t="s">
        <v>26</v>
      </c>
      <c r="J38" s="17" t="s">
        <v>300</v>
      </c>
      <c r="K38" s="17" t="s">
        <v>301</v>
      </c>
      <c r="L38" s="16">
        <v>35601</v>
      </c>
      <c r="M38" s="17" t="s">
        <v>29</v>
      </c>
      <c r="N38" s="17" t="s">
        <v>302</v>
      </c>
      <c r="O38" s="17" t="s">
        <v>43</v>
      </c>
      <c r="P38" s="17" t="s">
        <v>89</v>
      </c>
      <c r="Q38" s="17" t="s">
        <v>303</v>
      </c>
      <c r="R38" s="23">
        <v>208.16</v>
      </c>
      <c r="S38" s="16">
        <v>1</v>
      </c>
      <c r="T38" s="24">
        <v>0</v>
      </c>
      <c r="U38" s="25">
        <v>56.203200000000002</v>
      </c>
    </row>
    <row r="39" spans="1:21" ht="90">
      <c r="A39" s="16">
        <v>82</v>
      </c>
      <c r="B39" s="17" t="s">
        <v>304</v>
      </c>
      <c r="C39" s="19">
        <v>41565</v>
      </c>
      <c r="D39" s="19" t="s">
        <v>305</v>
      </c>
      <c r="E39" s="17" t="s">
        <v>48</v>
      </c>
      <c r="F39" s="17" t="s">
        <v>306</v>
      </c>
      <c r="G39" s="17" t="s">
        <v>307</v>
      </c>
      <c r="H39" s="17" t="s">
        <v>25</v>
      </c>
      <c r="I39" s="17" t="s">
        <v>26</v>
      </c>
      <c r="J39" s="17" t="s">
        <v>111</v>
      </c>
      <c r="K39" s="17" t="s">
        <v>40</v>
      </c>
      <c r="L39" s="16">
        <v>94122</v>
      </c>
      <c r="M39" s="17" t="s">
        <v>41</v>
      </c>
      <c r="N39" s="17" t="s">
        <v>308</v>
      </c>
      <c r="O39" s="17" t="s">
        <v>43</v>
      </c>
      <c r="P39" s="17" t="s">
        <v>113</v>
      </c>
      <c r="Q39" s="17" t="s">
        <v>309</v>
      </c>
      <c r="R39" s="23">
        <v>14.9</v>
      </c>
      <c r="S39" s="16">
        <v>5</v>
      </c>
      <c r="T39" s="24">
        <v>0</v>
      </c>
      <c r="U39" s="25">
        <v>4.1719999999999997</v>
      </c>
    </row>
    <row r="40" spans="1:21" ht="75">
      <c r="A40" s="16">
        <v>84</v>
      </c>
      <c r="B40" s="17" t="s">
        <v>310</v>
      </c>
      <c r="C40" s="19">
        <v>41566</v>
      </c>
      <c r="D40" s="19">
        <v>41130</v>
      </c>
      <c r="E40" s="17" t="s">
        <v>48</v>
      </c>
      <c r="F40" s="17" t="s">
        <v>311</v>
      </c>
      <c r="G40" s="17" t="s">
        <v>312</v>
      </c>
      <c r="H40" s="17" t="s">
        <v>38</v>
      </c>
      <c r="I40" s="17" t="s">
        <v>26</v>
      </c>
      <c r="J40" s="17" t="s">
        <v>313</v>
      </c>
      <c r="K40" s="17" t="s">
        <v>68</v>
      </c>
      <c r="L40" s="16">
        <v>27707</v>
      </c>
      <c r="M40" s="17" t="s">
        <v>29</v>
      </c>
      <c r="N40" s="17" t="s">
        <v>314</v>
      </c>
      <c r="O40" s="17" t="s">
        <v>43</v>
      </c>
      <c r="P40" s="17" t="s">
        <v>172</v>
      </c>
      <c r="Q40" s="17" t="s">
        <v>315</v>
      </c>
      <c r="R40" s="23">
        <v>200.98400000000001</v>
      </c>
      <c r="S40" s="16">
        <v>7</v>
      </c>
      <c r="T40" s="24">
        <v>0.2</v>
      </c>
      <c r="U40" s="25">
        <v>62.807499999999997</v>
      </c>
    </row>
    <row r="41" spans="1:21" ht="45">
      <c r="A41" s="16">
        <v>85</v>
      </c>
      <c r="B41" s="17" t="s">
        <v>316</v>
      </c>
      <c r="C41" s="19">
        <v>41567</v>
      </c>
      <c r="D41" s="19" t="s">
        <v>317</v>
      </c>
      <c r="E41" s="17" t="s">
        <v>159</v>
      </c>
      <c r="F41" s="17" t="s">
        <v>318</v>
      </c>
      <c r="G41" s="17" t="s">
        <v>319</v>
      </c>
      <c r="H41" s="17" t="s">
        <v>84</v>
      </c>
      <c r="I41" s="17" t="s">
        <v>26</v>
      </c>
      <c r="J41" s="17" t="s">
        <v>253</v>
      </c>
      <c r="K41" s="17" t="s">
        <v>179</v>
      </c>
      <c r="L41" s="16">
        <v>60623</v>
      </c>
      <c r="M41" s="17" t="s">
        <v>87</v>
      </c>
      <c r="N41" s="17" t="s">
        <v>320</v>
      </c>
      <c r="O41" s="17" t="s">
        <v>43</v>
      </c>
      <c r="P41" s="17" t="s">
        <v>98</v>
      </c>
      <c r="Q41" s="17" t="s">
        <v>321</v>
      </c>
      <c r="R41" s="23">
        <v>230.376</v>
      </c>
      <c r="S41" s="16">
        <v>3</v>
      </c>
      <c r="T41" s="24">
        <v>0.2</v>
      </c>
      <c r="U41" s="25">
        <v>-48.954900000000002</v>
      </c>
    </row>
    <row r="42" spans="1:21" ht="45">
      <c r="A42" s="16">
        <v>86</v>
      </c>
      <c r="B42" s="17" t="s">
        <v>322</v>
      </c>
      <c r="C42" s="19">
        <v>41568</v>
      </c>
      <c r="D42" s="19" t="s">
        <v>323</v>
      </c>
      <c r="E42" s="17" t="s">
        <v>22</v>
      </c>
      <c r="F42" s="17" t="s">
        <v>206</v>
      </c>
      <c r="G42" s="17" t="s">
        <v>207</v>
      </c>
      <c r="H42" s="17" t="s">
        <v>25</v>
      </c>
      <c r="I42" s="17" t="s">
        <v>26</v>
      </c>
      <c r="J42" s="17" t="s">
        <v>324</v>
      </c>
      <c r="K42" s="17" t="s">
        <v>325</v>
      </c>
      <c r="L42" s="16">
        <v>29203</v>
      </c>
      <c r="M42" s="17" t="s">
        <v>29</v>
      </c>
      <c r="N42" s="17" t="s">
        <v>326</v>
      </c>
      <c r="O42" s="17" t="s">
        <v>31</v>
      </c>
      <c r="P42" s="17" t="s">
        <v>131</v>
      </c>
      <c r="Q42" s="17" t="s">
        <v>327</v>
      </c>
      <c r="R42" s="23">
        <v>301.95999999999998</v>
      </c>
      <c r="S42" s="16">
        <v>2</v>
      </c>
      <c r="T42" s="24">
        <v>0</v>
      </c>
      <c r="U42" s="25">
        <v>33.215600000000002</v>
      </c>
    </row>
    <row r="43" spans="1:21" ht="90">
      <c r="A43" s="16">
        <v>87</v>
      </c>
      <c r="B43" s="17" t="s">
        <v>328</v>
      </c>
      <c r="C43" s="19">
        <v>41569</v>
      </c>
      <c r="D43" s="19">
        <v>41709</v>
      </c>
      <c r="E43" s="17" t="s">
        <v>48</v>
      </c>
      <c r="F43" s="17" t="s">
        <v>329</v>
      </c>
      <c r="G43" s="17" t="s">
        <v>330</v>
      </c>
      <c r="H43" s="17" t="s">
        <v>25</v>
      </c>
      <c r="I43" s="17" t="s">
        <v>26</v>
      </c>
      <c r="J43" s="17" t="s">
        <v>331</v>
      </c>
      <c r="K43" s="17" t="s">
        <v>200</v>
      </c>
      <c r="L43" s="16">
        <v>55901</v>
      </c>
      <c r="M43" s="17" t="s">
        <v>87</v>
      </c>
      <c r="N43" s="17" t="s">
        <v>332</v>
      </c>
      <c r="O43" s="17" t="s">
        <v>164</v>
      </c>
      <c r="P43" s="17" t="s">
        <v>202</v>
      </c>
      <c r="Q43" s="17" t="s">
        <v>333</v>
      </c>
      <c r="R43" s="23">
        <v>19.989999999999998</v>
      </c>
      <c r="S43" s="16">
        <v>1</v>
      </c>
      <c r="T43" s="24">
        <v>0</v>
      </c>
      <c r="U43" s="25">
        <v>6.7965999999999998</v>
      </c>
    </row>
    <row r="44" spans="1:21" ht="60">
      <c r="A44" s="16">
        <v>89</v>
      </c>
      <c r="B44" s="17" t="s">
        <v>334</v>
      </c>
      <c r="C44" s="19">
        <v>41570</v>
      </c>
      <c r="D44" s="19">
        <v>41582</v>
      </c>
      <c r="E44" s="17" t="s">
        <v>22</v>
      </c>
      <c r="F44" s="17" t="s">
        <v>335</v>
      </c>
      <c r="G44" s="17" t="s">
        <v>336</v>
      </c>
      <c r="H44" s="17" t="s">
        <v>84</v>
      </c>
      <c r="I44" s="17" t="s">
        <v>26</v>
      </c>
      <c r="J44" s="17" t="s">
        <v>155</v>
      </c>
      <c r="K44" s="17" t="s">
        <v>86</v>
      </c>
      <c r="L44" s="16">
        <v>77095</v>
      </c>
      <c r="M44" s="17" t="s">
        <v>87</v>
      </c>
      <c r="N44" s="17" t="s">
        <v>337</v>
      </c>
      <c r="O44" s="17" t="s">
        <v>43</v>
      </c>
      <c r="P44" s="17" t="s">
        <v>98</v>
      </c>
      <c r="Q44" s="17" t="s">
        <v>338</v>
      </c>
      <c r="R44" s="23">
        <v>158.36799999999999</v>
      </c>
      <c r="S44" s="16">
        <v>7</v>
      </c>
      <c r="T44" s="24">
        <v>0.2</v>
      </c>
      <c r="U44" s="25">
        <v>13.857200000000001</v>
      </c>
    </row>
    <row r="45" spans="1:21" ht="60">
      <c r="A45" s="16">
        <v>90</v>
      </c>
      <c r="B45" s="17" t="s">
        <v>339</v>
      </c>
      <c r="C45" s="19">
        <v>41571</v>
      </c>
      <c r="D45" s="19" t="s">
        <v>340</v>
      </c>
      <c r="E45" s="17" t="s">
        <v>48</v>
      </c>
      <c r="F45" s="17" t="s">
        <v>341</v>
      </c>
      <c r="G45" s="17" t="s">
        <v>342</v>
      </c>
      <c r="H45" s="17" t="s">
        <v>38</v>
      </c>
      <c r="I45" s="17" t="s">
        <v>26</v>
      </c>
      <c r="J45" s="17" t="s">
        <v>39</v>
      </c>
      <c r="K45" s="17" t="s">
        <v>40</v>
      </c>
      <c r="L45" s="16">
        <v>90036</v>
      </c>
      <c r="M45" s="17" t="s">
        <v>41</v>
      </c>
      <c r="N45" s="17" t="s">
        <v>343</v>
      </c>
      <c r="O45" s="17" t="s">
        <v>43</v>
      </c>
      <c r="P45" s="17" t="s">
        <v>113</v>
      </c>
      <c r="Q45" s="17" t="s">
        <v>344</v>
      </c>
      <c r="R45" s="23">
        <v>20.100000000000001</v>
      </c>
      <c r="S45" s="16">
        <v>3</v>
      </c>
      <c r="T45" s="24">
        <v>0</v>
      </c>
      <c r="U45" s="25">
        <v>6.633</v>
      </c>
    </row>
    <row r="46" spans="1:21" ht="30">
      <c r="A46" s="16">
        <v>93</v>
      </c>
      <c r="B46" s="17" t="s">
        <v>345</v>
      </c>
      <c r="C46" s="19">
        <v>41572</v>
      </c>
      <c r="D46" s="19">
        <v>41031</v>
      </c>
      <c r="E46" s="17" t="s">
        <v>22</v>
      </c>
      <c r="F46" s="17" t="s">
        <v>346</v>
      </c>
      <c r="G46" s="17" t="s">
        <v>347</v>
      </c>
      <c r="H46" s="17" t="s">
        <v>25</v>
      </c>
      <c r="I46" s="17" t="s">
        <v>26</v>
      </c>
      <c r="J46" s="17" t="s">
        <v>348</v>
      </c>
      <c r="K46" s="17" t="s">
        <v>200</v>
      </c>
      <c r="L46" s="16">
        <v>55407</v>
      </c>
      <c r="M46" s="17" t="s">
        <v>87</v>
      </c>
      <c r="N46" s="17" t="s">
        <v>349</v>
      </c>
      <c r="O46" s="17" t="s">
        <v>43</v>
      </c>
      <c r="P46" s="17" t="s">
        <v>70</v>
      </c>
      <c r="Q46" s="17" t="s">
        <v>350</v>
      </c>
      <c r="R46" s="23">
        <v>12.96</v>
      </c>
      <c r="S46" s="16">
        <v>2</v>
      </c>
      <c r="T46" s="24">
        <v>0</v>
      </c>
      <c r="U46" s="25">
        <v>6.2207999999999997</v>
      </c>
    </row>
    <row r="47" spans="1:21" ht="75">
      <c r="A47" s="16">
        <v>96</v>
      </c>
      <c r="B47" s="17" t="s">
        <v>351</v>
      </c>
      <c r="C47" s="19">
        <v>41573</v>
      </c>
      <c r="D47" s="19" t="s">
        <v>352</v>
      </c>
      <c r="E47" s="17" t="s">
        <v>48</v>
      </c>
      <c r="F47" s="17" t="s">
        <v>353</v>
      </c>
      <c r="G47" s="17" t="s">
        <v>354</v>
      </c>
      <c r="H47" s="17" t="s">
        <v>84</v>
      </c>
      <c r="I47" s="17" t="s">
        <v>26</v>
      </c>
      <c r="J47" s="17" t="s">
        <v>355</v>
      </c>
      <c r="K47" s="17" t="s">
        <v>356</v>
      </c>
      <c r="L47" s="16">
        <v>97206</v>
      </c>
      <c r="M47" s="17" t="s">
        <v>41</v>
      </c>
      <c r="N47" s="17" t="s">
        <v>357</v>
      </c>
      <c r="O47" s="17" t="s">
        <v>43</v>
      </c>
      <c r="P47" s="17" t="s">
        <v>78</v>
      </c>
      <c r="Q47" s="17" t="s">
        <v>358</v>
      </c>
      <c r="R47" s="23">
        <v>5.6820000000000004</v>
      </c>
      <c r="S47" s="16">
        <v>1</v>
      </c>
      <c r="T47" s="24">
        <v>0.7</v>
      </c>
      <c r="U47" s="25">
        <v>-3.7879999999999998</v>
      </c>
    </row>
    <row r="48" spans="1:21" ht="60">
      <c r="A48" s="16">
        <v>97</v>
      </c>
      <c r="B48" s="17" t="s">
        <v>359</v>
      </c>
      <c r="C48" s="19">
        <v>41574</v>
      </c>
      <c r="D48" s="19">
        <v>41984</v>
      </c>
      <c r="E48" s="17" t="s">
        <v>22</v>
      </c>
      <c r="F48" s="17" t="s">
        <v>360</v>
      </c>
      <c r="G48" s="17" t="s">
        <v>361</v>
      </c>
      <c r="H48" s="17" t="s">
        <v>84</v>
      </c>
      <c r="I48" s="17" t="s">
        <v>26</v>
      </c>
      <c r="J48" s="17" t="s">
        <v>232</v>
      </c>
      <c r="K48" s="17" t="s">
        <v>233</v>
      </c>
      <c r="L48" s="16">
        <v>10009</v>
      </c>
      <c r="M48" s="17" t="s">
        <v>129</v>
      </c>
      <c r="N48" s="17" t="s">
        <v>362</v>
      </c>
      <c r="O48" s="17" t="s">
        <v>31</v>
      </c>
      <c r="P48" s="17" t="s">
        <v>61</v>
      </c>
      <c r="Q48" s="17" t="s">
        <v>363</v>
      </c>
      <c r="R48" s="23">
        <v>96.53</v>
      </c>
      <c r="S48" s="16">
        <v>7</v>
      </c>
      <c r="T48" s="24">
        <v>0</v>
      </c>
      <c r="U48" s="25">
        <v>40.5426</v>
      </c>
    </row>
    <row r="49" spans="1:21" ht="45">
      <c r="A49" s="16">
        <v>98</v>
      </c>
      <c r="B49" s="17" t="s">
        <v>364</v>
      </c>
      <c r="C49" s="19">
        <v>41575</v>
      </c>
      <c r="D49" s="19" t="s">
        <v>365</v>
      </c>
      <c r="E49" s="17" t="s">
        <v>159</v>
      </c>
      <c r="F49" s="17" t="s">
        <v>366</v>
      </c>
      <c r="G49" s="17" t="s">
        <v>367</v>
      </c>
      <c r="H49" s="17" t="s">
        <v>25</v>
      </c>
      <c r="I49" s="17" t="s">
        <v>26</v>
      </c>
      <c r="J49" s="17" t="s">
        <v>111</v>
      </c>
      <c r="K49" s="17" t="s">
        <v>40</v>
      </c>
      <c r="L49" s="16">
        <v>94122</v>
      </c>
      <c r="M49" s="17" t="s">
        <v>41</v>
      </c>
      <c r="N49" s="17" t="s">
        <v>368</v>
      </c>
      <c r="O49" s="17" t="s">
        <v>43</v>
      </c>
      <c r="P49" s="17" t="s">
        <v>78</v>
      </c>
      <c r="Q49" s="17" t="s">
        <v>369</v>
      </c>
      <c r="R49" s="23">
        <v>51.311999999999998</v>
      </c>
      <c r="S49" s="16">
        <v>3</v>
      </c>
      <c r="T49" s="24">
        <v>0.2</v>
      </c>
      <c r="U49" s="25">
        <v>17.959199999999999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49"/>
  <sheetViews>
    <sheetView workbookViewId="0"/>
  </sheetViews>
  <sheetFormatPr defaultColWidth="9.140625" defaultRowHeight="15"/>
  <cols>
    <col min="1" max="2" width="9.140625" style="7"/>
    <col min="3" max="3" width="9.140625" style="8"/>
    <col min="4" max="4" width="10.42578125" style="7" customWidth="1"/>
    <col min="5" max="6" width="10.42578125" style="9" customWidth="1"/>
    <col min="7" max="9" width="9.140625" style="7"/>
    <col min="10" max="10" width="11.140625" style="7" customWidth="1"/>
    <col min="11" max="18" width="9.140625" style="7"/>
    <col min="19" max="19" width="13.7109375" style="7" customWidth="1"/>
    <col min="20" max="20" width="9.7109375" style="10" customWidth="1"/>
    <col min="21" max="21" width="9.140625" style="7"/>
    <col min="22" max="22" width="9.140625" style="11"/>
    <col min="23" max="23" width="11.28515625" style="12" customWidth="1"/>
    <col min="24" max="16384" width="9.140625" style="7"/>
  </cols>
  <sheetData>
    <row r="1" spans="1:23" ht="47.25">
      <c r="A1" s="13" t="s">
        <v>0</v>
      </c>
      <c r="B1" s="13" t="s">
        <v>1</v>
      </c>
      <c r="C1" s="14" t="s">
        <v>370</v>
      </c>
      <c r="D1" s="13" t="s">
        <v>371</v>
      </c>
      <c r="E1" s="15" t="s">
        <v>2</v>
      </c>
      <c r="F1" s="15" t="s">
        <v>3</v>
      </c>
      <c r="G1" s="13" t="s">
        <v>4</v>
      </c>
      <c r="H1" s="13" t="s">
        <v>5</v>
      </c>
      <c r="I1" s="13" t="s">
        <v>6</v>
      </c>
      <c r="J1" s="13" t="s">
        <v>7</v>
      </c>
      <c r="K1" s="13" t="s">
        <v>8</v>
      </c>
      <c r="L1" s="13" t="s">
        <v>9</v>
      </c>
      <c r="M1" s="13" t="s">
        <v>10</v>
      </c>
      <c r="N1" s="13" t="s">
        <v>11</v>
      </c>
      <c r="O1" s="13" t="s">
        <v>12</v>
      </c>
      <c r="P1" s="13" t="s">
        <v>13</v>
      </c>
      <c r="Q1" s="13" t="s">
        <v>14</v>
      </c>
      <c r="R1" s="13" t="s">
        <v>15</v>
      </c>
      <c r="S1" s="13" t="s">
        <v>16</v>
      </c>
      <c r="T1" s="20" t="s">
        <v>17</v>
      </c>
      <c r="U1" s="13" t="s">
        <v>18</v>
      </c>
      <c r="V1" s="21" t="s">
        <v>19</v>
      </c>
      <c r="W1" s="22" t="s">
        <v>20</v>
      </c>
    </row>
    <row r="2" spans="1:23" ht="60">
      <c r="A2" s="16">
        <v>1</v>
      </c>
      <c r="B2" s="17" t="s">
        <v>21</v>
      </c>
      <c r="C2" s="18" t="str">
        <f>TEXT(E2,"MMM")</f>
        <v>Sep</v>
      </c>
      <c r="D2" s="16">
        <v>2013</v>
      </c>
      <c r="E2" s="19">
        <v>41528</v>
      </c>
      <c r="F2" s="19">
        <v>41619</v>
      </c>
      <c r="G2" s="17" t="s">
        <v>22</v>
      </c>
      <c r="H2" s="17" t="s">
        <v>23</v>
      </c>
      <c r="I2" s="17" t="s">
        <v>24</v>
      </c>
      <c r="J2" s="17" t="s">
        <v>25</v>
      </c>
      <c r="K2" s="17" t="s">
        <v>26</v>
      </c>
      <c r="L2" s="17" t="s">
        <v>27</v>
      </c>
      <c r="M2" s="17" t="s">
        <v>28</v>
      </c>
      <c r="N2" s="16">
        <v>42420</v>
      </c>
      <c r="O2" s="17" t="s">
        <v>29</v>
      </c>
      <c r="P2" s="17" t="s">
        <v>30</v>
      </c>
      <c r="Q2" s="17" t="s">
        <v>31</v>
      </c>
      <c r="R2" s="17" t="s">
        <v>32</v>
      </c>
      <c r="S2" s="17" t="s">
        <v>33</v>
      </c>
      <c r="T2" s="23">
        <v>261.95999999999998</v>
      </c>
      <c r="U2" s="16">
        <v>2</v>
      </c>
      <c r="V2" s="24">
        <v>0</v>
      </c>
      <c r="W2" s="25">
        <v>41.913600000000002</v>
      </c>
    </row>
    <row r="3" spans="1:23" ht="75">
      <c r="A3" s="16">
        <v>3</v>
      </c>
      <c r="B3" s="17" t="s">
        <v>34</v>
      </c>
      <c r="C3" s="18" t="str">
        <f t="shared" ref="C3:C49" si="0">TEXT(E3,"MMM")</f>
        <v>Sep</v>
      </c>
      <c r="D3" s="16">
        <v>2013</v>
      </c>
      <c r="E3" s="19">
        <v>41529</v>
      </c>
      <c r="F3" s="19">
        <v>41620</v>
      </c>
      <c r="G3" s="17" t="s">
        <v>22</v>
      </c>
      <c r="H3" s="17" t="s">
        <v>36</v>
      </c>
      <c r="I3" s="17" t="s">
        <v>37</v>
      </c>
      <c r="J3" s="17" t="s">
        <v>38</v>
      </c>
      <c r="K3" s="17" t="s">
        <v>26</v>
      </c>
      <c r="L3" s="17" t="s">
        <v>39</v>
      </c>
      <c r="M3" s="17" t="s">
        <v>40</v>
      </c>
      <c r="N3" s="16">
        <v>90036</v>
      </c>
      <c r="O3" s="17" t="s">
        <v>41</v>
      </c>
      <c r="P3" s="17" t="s">
        <v>42</v>
      </c>
      <c r="Q3" s="17" t="s">
        <v>43</v>
      </c>
      <c r="R3" s="17" t="s">
        <v>44</v>
      </c>
      <c r="S3" s="17" t="s">
        <v>45</v>
      </c>
      <c r="T3" s="23">
        <v>14.62</v>
      </c>
      <c r="U3" s="16">
        <v>2</v>
      </c>
      <c r="V3" s="24">
        <v>0</v>
      </c>
      <c r="W3" s="25">
        <v>6.8714000000000004</v>
      </c>
    </row>
    <row r="4" spans="1:23" ht="75">
      <c r="A4" s="16">
        <v>4</v>
      </c>
      <c r="B4" s="17" t="s">
        <v>46</v>
      </c>
      <c r="C4" s="18" t="str">
        <f t="shared" si="0"/>
        <v>Sep</v>
      </c>
      <c r="D4" s="16">
        <v>2012</v>
      </c>
      <c r="E4" s="19">
        <v>41530</v>
      </c>
      <c r="F4" s="19">
        <v>41621</v>
      </c>
      <c r="G4" s="17" t="s">
        <v>48</v>
      </c>
      <c r="H4" s="17" t="s">
        <v>49</v>
      </c>
      <c r="I4" s="17" t="s">
        <v>50</v>
      </c>
      <c r="J4" s="17" t="s">
        <v>25</v>
      </c>
      <c r="K4" s="17" t="s">
        <v>26</v>
      </c>
      <c r="L4" s="17" t="s">
        <v>51</v>
      </c>
      <c r="M4" s="17" t="s">
        <v>52</v>
      </c>
      <c r="N4" s="16">
        <v>33311</v>
      </c>
      <c r="O4" s="17" t="s">
        <v>29</v>
      </c>
      <c r="P4" s="17" t="s">
        <v>53</v>
      </c>
      <c r="Q4" s="17" t="s">
        <v>31</v>
      </c>
      <c r="R4" s="17" t="s">
        <v>54</v>
      </c>
      <c r="S4" s="17" t="s">
        <v>55</v>
      </c>
      <c r="T4" s="23">
        <v>957.57749999999999</v>
      </c>
      <c r="U4" s="16">
        <v>5</v>
      </c>
      <c r="V4" s="24">
        <v>0.45</v>
      </c>
      <c r="W4" s="25">
        <v>-383.03100000000001</v>
      </c>
    </row>
    <row r="5" spans="1:23" ht="90">
      <c r="A5" s="16">
        <v>6</v>
      </c>
      <c r="B5" s="17" t="s">
        <v>56</v>
      </c>
      <c r="C5" s="18" t="str">
        <f t="shared" si="0"/>
        <v>Sep</v>
      </c>
      <c r="D5" s="16">
        <v>2011</v>
      </c>
      <c r="E5" s="19">
        <v>41531</v>
      </c>
      <c r="F5" s="19">
        <v>41622</v>
      </c>
      <c r="G5" s="17" t="s">
        <v>48</v>
      </c>
      <c r="H5" s="17" t="s">
        <v>58</v>
      </c>
      <c r="I5" s="17" t="s">
        <v>59</v>
      </c>
      <c r="J5" s="17" t="s">
        <v>25</v>
      </c>
      <c r="K5" s="17" t="s">
        <v>26</v>
      </c>
      <c r="L5" s="17" t="s">
        <v>39</v>
      </c>
      <c r="M5" s="17" t="s">
        <v>40</v>
      </c>
      <c r="N5" s="16">
        <v>90032</v>
      </c>
      <c r="O5" s="17" t="s">
        <v>41</v>
      </c>
      <c r="P5" s="17" t="s">
        <v>60</v>
      </c>
      <c r="Q5" s="17" t="s">
        <v>31</v>
      </c>
      <c r="R5" s="17" t="s">
        <v>61</v>
      </c>
      <c r="S5" s="17" t="s">
        <v>62</v>
      </c>
      <c r="T5" s="23">
        <v>48.86</v>
      </c>
      <c r="U5" s="16">
        <v>7</v>
      </c>
      <c r="V5" s="24">
        <v>0</v>
      </c>
      <c r="W5" s="25">
        <v>14.1694</v>
      </c>
    </row>
    <row r="6" spans="1:23" ht="30">
      <c r="A6" s="16">
        <v>13</v>
      </c>
      <c r="B6" s="17" t="s">
        <v>63</v>
      </c>
      <c r="C6" s="18" t="str">
        <f t="shared" si="0"/>
        <v>Sep</v>
      </c>
      <c r="D6" s="16">
        <v>2014</v>
      </c>
      <c r="E6" s="19">
        <v>41532</v>
      </c>
      <c r="F6" s="19">
        <v>41623</v>
      </c>
      <c r="G6" s="17" t="s">
        <v>48</v>
      </c>
      <c r="H6" s="17" t="s">
        <v>65</v>
      </c>
      <c r="I6" s="17" t="s">
        <v>66</v>
      </c>
      <c r="J6" s="17" t="s">
        <v>25</v>
      </c>
      <c r="K6" s="17" t="s">
        <v>26</v>
      </c>
      <c r="L6" s="17" t="s">
        <v>67</v>
      </c>
      <c r="M6" s="17" t="s">
        <v>68</v>
      </c>
      <c r="N6" s="16">
        <v>28027</v>
      </c>
      <c r="O6" s="17" t="s">
        <v>29</v>
      </c>
      <c r="P6" s="17" t="s">
        <v>69</v>
      </c>
      <c r="Q6" s="17" t="s">
        <v>43</v>
      </c>
      <c r="R6" s="17" t="s">
        <v>70</v>
      </c>
      <c r="S6" s="17" t="s">
        <v>71</v>
      </c>
      <c r="T6" s="23">
        <v>15.552</v>
      </c>
      <c r="U6" s="16">
        <v>3</v>
      </c>
      <c r="V6" s="24">
        <v>0.2</v>
      </c>
      <c r="W6" s="25">
        <v>5.4432</v>
      </c>
    </row>
    <row r="7" spans="1:23" ht="60">
      <c r="A7" s="16">
        <v>14</v>
      </c>
      <c r="B7" s="17" t="s">
        <v>72</v>
      </c>
      <c r="C7" s="18" t="str">
        <f t="shared" si="0"/>
        <v>Sep</v>
      </c>
      <c r="D7" s="16">
        <v>2013</v>
      </c>
      <c r="E7" s="19">
        <v>41533</v>
      </c>
      <c r="F7" s="19">
        <v>41624</v>
      </c>
      <c r="G7" s="17" t="s">
        <v>48</v>
      </c>
      <c r="H7" s="17" t="s">
        <v>73</v>
      </c>
      <c r="I7" s="17" t="s">
        <v>74</v>
      </c>
      <c r="J7" s="17" t="s">
        <v>25</v>
      </c>
      <c r="K7" s="17" t="s">
        <v>26</v>
      </c>
      <c r="L7" s="17" t="s">
        <v>75</v>
      </c>
      <c r="M7" s="17" t="s">
        <v>76</v>
      </c>
      <c r="N7" s="16">
        <v>98103</v>
      </c>
      <c r="O7" s="17" t="s">
        <v>41</v>
      </c>
      <c r="P7" s="17" t="s">
        <v>77</v>
      </c>
      <c r="Q7" s="17" t="s">
        <v>43</v>
      </c>
      <c r="R7" s="17" t="s">
        <v>78</v>
      </c>
      <c r="S7" s="17" t="s">
        <v>79</v>
      </c>
      <c r="T7" s="23">
        <v>407.976</v>
      </c>
      <c r="U7" s="16">
        <v>3</v>
      </c>
      <c r="V7" s="24">
        <v>0.2</v>
      </c>
      <c r="W7" s="25">
        <v>132.59219999999999</v>
      </c>
    </row>
    <row r="8" spans="1:23" ht="105">
      <c r="A8" s="16">
        <v>15</v>
      </c>
      <c r="B8" s="17" t="s">
        <v>80</v>
      </c>
      <c r="C8" s="18" t="str">
        <f t="shared" si="0"/>
        <v>Sep</v>
      </c>
      <c r="D8" s="16">
        <v>2012</v>
      </c>
      <c r="E8" s="19">
        <v>41534</v>
      </c>
      <c r="F8" s="19">
        <v>41625</v>
      </c>
      <c r="G8" s="17" t="s">
        <v>48</v>
      </c>
      <c r="H8" s="17" t="s">
        <v>82</v>
      </c>
      <c r="I8" s="17" t="s">
        <v>83</v>
      </c>
      <c r="J8" s="17" t="s">
        <v>84</v>
      </c>
      <c r="K8" s="17" t="s">
        <v>26</v>
      </c>
      <c r="L8" s="17" t="s">
        <v>85</v>
      </c>
      <c r="M8" s="17" t="s">
        <v>86</v>
      </c>
      <c r="N8" s="16">
        <v>76106</v>
      </c>
      <c r="O8" s="17" t="s">
        <v>87</v>
      </c>
      <c r="P8" s="17" t="s">
        <v>88</v>
      </c>
      <c r="Q8" s="17" t="s">
        <v>43</v>
      </c>
      <c r="R8" s="17" t="s">
        <v>89</v>
      </c>
      <c r="S8" s="17" t="s">
        <v>90</v>
      </c>
      <c r="T8" s="23">
        <v>68.81</v>
      </c>
      <c r="U8" s="16">
        <v>5</v>
      </c>
      <c r="V8" s="24">
        <v>0.8</v>
      </c>
      <c r="W8" s="25">
        <v>-123.858</v>
      </c>
    </row>
    <row r="9" spans="1:23" ht="90">
      <c r="A9" s="16">
        <v>17</v>
      </c>
      <c r="B9" s="17" t="s">
        <v>91</v>
      </c>
      <c r="C9" s="18" t="str">
        <f t="shared" si="0"/>
        <v>Sep</v>
      </c>
      <c r="D9" s="16">
        <v>2011</v>
      </c>
      <c r="E9" s="19">
        <v>41535</v>
      </c>
      <c r="F9" s="19">
        <v>41626</v>
      </c>
      <c r="G9" s="17" t="s">
        <v>48</v>
      </c>
      <c r="H9" s="17" t="s">
        <v>93</v>
      </c>
      <c r="I9" s="17" t="s">
        <v>94</v>
      </c>
      <c r="J9" s="17" t="s">
        <v>25</v>
      </c>
      <c r="K9" s="17" t="s">
        <v>26</v>
      </c>
      <c r="L9" s="17" t="s">
        <v>95</v>
      </c>
      <c r="M9" s="17" t="s">
        <v>96</v>
      </c>
      <c r="N9" s="16">
        <v>53711</v>
      </c>
      <c r="O9" s="17" t="s">
        <v>87</v>
      </c>
      <c r="P9" s="17" t="s">
        <v>97</v>
      </c>
      <c r="Q9" s="17" t="s">
        <v>43</v>
      </c>
      <c r="R9" s="17" t="s">
        <v>98</v>
      </c>
      <c r="S9" s="17" t="s">
        <v>99</v>
      </c>
      <c r="T9" s="23">
        <v>665.88</v>
      </c>
      <c r="U9" s="16">
        <v>6</v>
      </c>
      <c r="V9" s="24">
        <v>0</v>
      </c>
      <c r="W9" s="25">
        <v>13.317600000000001</v>
      </c>
    </row>
    <row r="10" spans="1:23" ht="45">
      <c r="A10" s="16">
        <v>18</v>
      </c>
      <c r="B10" s="17" t="s">
        <v>100</v>
      </c>
      <c r="C10" s="18" t="str">
        <f t="shared" si="0"/>
        <v>Sep</v>
      </c>
      <c r="D10" s="16">
        <v>2011</v>
      </c>
      <c r="E10" s="19">
        <v>41536</v>
      </c>
      <c r="F10" s="19">
        <v>41627</v>
      </c>
      <c r="G10" s="17" t="s">
        <v>22</v>
      </c>
      <c r="H10" s="17" t="s">
        <v>102</v>
      </c>
      <c r="I10" s="17" t="s">
        <v>103</v>
      </c>
      <c r="J10" s="17" t="s">
        <v>25</v>
      </c>
      <c r="K10" s="17" t="s">
        <v>26</v>
      </c>
      <c r="L10" s="17" t="s">
        <v>104</v>
      </c>
      <c r="M10" s="17" t="s">
        <v>105</v>
      </c>
      <c r="N10" s="16">
        <v>84084</v>
      </c>
      <c r="O10" s="17" t="s">
        <v>41</v>
      </c>
      <c r="P10" s="17" t="s">
        <v>106</v>
      </c>
      <c r="Q10" s="17" t="s">
        <v>43</v>
      </c>
      <c r="R10" s="17" t="s">
        <v>98</v>
      </c>
      <c r="S10" s="17" t="s">
        <v>107</v>
      </c>
      <c r="T10" s="23">
        <v>55.5</v>
      </c>
      <c r="U10" s="16">
        <v>2</v>
      </c>
      <c r="V10" s="24">
        <v>0</v>
      </c>
      <c r="W10" s="25">
        <v>9.99</v>
      </c>
    </row>
    <row r="11" spans="1:23" ht="30">
      <c r="A11" s="16">
        <v>19</v>
      </c>
      <c r="B11" s="17" t="s">
        <v>108</v>
      </c>
      <c r="C11" s="18" t="str">
        <f t="shared" si="0"/>
        <v>Sep</v>
      </c>
      <c r="D11" s="16">
        <v>2011</v>
      </c>
      <c r="E11" s="19">
        <v>41537</v>
      </c>
      <c r="F11" s="19">
        <v>41628</v>
      </c>
      <c r="G11" s="17" t="s">
        <v>22</v>
      </c>
      <c r="H11" s="17" t="s">
        <v>109</v>
      </c>
      <c r="I11" s="17" t="s">
        <v>110</v>
      </c>
      <c r="J11" s="17" t="s">
        <v>25</v>
      </c>
      <c r="K11" s="17" t="s">
        <v>26</v>
      </c>
      <c r="L11" s="17" t="s">
        <v>111</v>
      </c>
      <c r="M11" s="17" t="s">
        <v>40</v>
      </c>
      <c r="N11" s="16">
        <v>94109</v>
      </c>
      <c r="O11" s="17" t="s">
        <v>41</v>
      </c>
      <c r="P11" s="17" t="s">
        <v>112</v>
      </c>
      <c r="Q11" s="17" t="s">
        <v>43</v>
      </c>
      <c r="R11" s="17" t="s">
        <v>113</v>
      </c>
      <c r="S11" s="17" t="s">
        <v>114</v>
      </c>
      <c r="T11" s="23">
        <v>8.56</v>
      </c>
      <c r="U11" s="16">
        <v>2</v>
      </c>
      <c r="V11" s="24">
        <v>0</v>
      </c>
      <c r="W11" s="25">
        <v>2.4824000000000002</v>
      </c>
    </row>
    <row r="12" spans="1:23" ht="30">
      <c r="A12" s="16">
        <v>22</v>
      </c>
      <c r="B12" s="17" t="s">
        <v>115</v>
      </c>
      <c r="C12" s="18" t="str">
        <f t="shared" si="0"/>
        <v>Sep</v>
      </c>
      <c r="D12" s="16">
        <v>2013</v>
      </c>
      <c r="E12" s="19">
        <v>41538</v>
      </c>
      <c r="F12" s="19">
        <v>41629</v>
      </c>
      <c r="G12" s="17" t="s">
        <v>48</v>
      </c>
      <c r="H12" s="17" t="s">
        <v>117</v>
      </c>
      <c r="I12" s="17" t="s">
        <v>118</v>
      </c>
      <c r="J12" s="17" t="s">
        <v>38</v>
      </c>
      <c r="K12" s="17" t="s">
        <v>26</v>
      </c>
      <c r="L12" s="17" t="s">
        <v>119</v>
      </c>
      <c r="M12" s="17" t="s">
        <v>120</v>
      </c>
      <c r="N12" s="16">
        <v>68025</v>
      </c>
      <c r="O12" s="17" t="s">
        <v>87</v>
      </c>
      <c r="P12" s="17" t="s">
        <v>121</v>
      </c>
      <c r="Q12" s="17" t="s">
        <v>43</v>
      </c>
      <c r="R12" s="17" t="s">
        <v>113</v>
      </c>
      <c r="S12" s="17" t="s">
        <v>122</v>
      </c>
      <c r="T12" s="23">
        <v>19.46</v>
      </c>
      <c r="U12" s="16">
        <v>7</v>
      </c>
      <c r="V12" s="24">
        <v>0</v>
      </c>
      <c r="W12" s="25">
        <v>5.0595999999999997</v>
      </c>
    </row>
    <row r="13" spans="1:23" ht="45">
      <c r="A13" s="16">
        <v>24</v>
      </c>
      <c r="B13" s="17" t="s">
        <v>123</v>
      </c>
      <c r="C13" s="18" t="str">
        <f t="shared" si="0"/>
        <v>Sep</v>
      </c>
      <c r="D13" s="16">
        <v>2014</v>
      </c>
      <c r="E13" s="19">
        <v>41539</v>
      </c>
      <c r="F13" s="19">
        <v>41630</v>
      </c>
      <c r="G13" s="17" t="s">
        <v>22</v>
      </c>
      <c r="H13" s="17" t="s">
        <v>125</v>
      </c>
      <c r="I13" s="17" t="s">
        <v>126</v>
      </c>
      <c r="J13" s="17" t="s">
        <v>25</v>
      </c>
      <c r="K13" s="17" t="s">
        <v>26</v>
      </c>
      <c r="L13" s="17" t="s">
        <v>127</v>
      </c>
      <c r="M13" s="17" t="s">
        <v>128</v>
      </c>
      <c r="N13" s="16">
        <v>19140</v>
      </c>
      <c r="O13" s="17" t="s">
        <v>129</v>
      </c>
      <c r="P13" s="17" t="s">
        <v>130</v>
      </c>
      <c r="Q13" s="17" t="s">
        <v>31</v>
      </c>
      <c r="R13" s="17" t="s">
        <v>131</v>
      </c>
      <c r="S13" s="17" t="s">
        <v>132</v>
      </c>
      <c r="T13" s="23">
        <v>71.372</v>
      </c>
      <c r="U13" s="16">
        <v>2</v>
      </c>
      <c r="V13" s="24">
        <v>0.3</v>
      </c>
      <c r="W13" s="25">
        <v>-1.0196000000000001</v>
      </c>
    </row>
    <row r="14" spans="1:23" ht="75">
      <c r="A14" s="16">
        <v>25</v>
      </c>
      <c r="B14" s="17" t="s">
        <v>133</v>
      </c>
      <c r="C14" s="18" t="str">
        <f t="shared" si="0"/>
        <v>Sep</v>
      </c>
      <c r="D14" s="16">
        <v>2012</v>
      </c>
      <c r="E14" s="19">
        <v>41540</v>
      </c>
      <c r="F14" s="19">
        <v>41631</v>
      </c>
      <c r="G14" s="17" t="s">
        <v>48</v>
      </c>
      <c r="H14" s="17" t="s">
        <v>135</v>
      </c>
      <c r="I14" s="17" t="s">
        <v>136</v>
      </c>
      <c r="J14" s="17" t="s">
        <v>25</v>
      </c>
      <c r="K14" s="17" t="s">
        <v>26</v>
      </c>
      <c r="L14" s="17" t="s">
        <v>137</v>
      </c>
      <c r="M14" s="17" t="s">
        <v>105</v>
      </c>
      <c r="N14" s="16">
        <v>84057</v>
      </c>
      <c r="O14" s="17" t="s">
        <v>41</v>
      </c>
      <c r="P14" s="17" t="s">
        <v>138</v>
      </c>
      <c r="Q14" s="17" t="s">
        <v>31</v>
      </c>
      <c r="R14" s="17" t="s">
        <v>54</v>
      </c>
      <c r="S14" s="17" t="s">
        <v>55</v>
      </c>
      <c r="T14" s="23">
        <v>1044.6300000000001</v>
      </c>
      <c r="U14" s="16">
        <v>3</v>
      </c>
      <c r="V14" s="24">
        <v>0</v>
      </c>
      <c r="W14" s="25">
        <v>240.26490000000001</v>
      </c>
    </row>
    <row r="15" spans="1:23" ht="45">
      <c r="A15" s="16">
        <v>26</v>
      </c>
      <c r="B15" s="17" t="s">
        <v>139</v>
      </c>
      <c r="C15" s="18" t="str">
        <f t="shared" si="0"/>
        <v>Sep</v>
      </c>
      <c r="D15" s="16">
        <v>2013</v>
      </c>
      <c r="E15" s="19">
        <v>41541</v>
      </c>
      <c r="F15" s="19">
        <v>41632</v>
      </c>
      <c r="G15" s="17" t="s">
        <v>22</v>
      </c>
      <c r="H15" s="17" t="s">
        <v>141</v>
      </c>
      <c r="I15" s="17" t="s">
        <v>142</v>
      </c>
      <c r="J15" s="17" t="s">
        <v>25</v>
      </c>
      <c r="K15" s="17" t="s">
        <v>26</v>
      </c>
      <c r="L15" s="17" t="s">
        <v>39</v>
      </c>
      <c r="M15" s="17" t="s">
        <v>40</v>
      </c>
      <c r="N15" s="16">
        <v>90049</v>
      </c>
      <c r="O15" s="17" t="s">
        <v>41</v>
      </c>
      <c r="P15" s="17" t="s">
        <v>143</v>
      </c>
      <c r="Q15" s="17" t="s">
        <v>43</v>
      </c>
      <c r="R15" s="17" t="s">
        <v>78</v>
      </c>
      <c r="S15" s="17" t="s">
        <v>144</v>
      </c>
      <c r="T15" s="23">
        <v>11.648</v>
      </c>
      <c r="U15" s="16">
        <v>2</v>
      </c>
      <c r="V15" s="24">
        <v>0.2</v>
      </c>
      <c r="W15" s="25">
        <v>4.2224000000000004</v>
      </c>
    </row>
    <row r="16" spans="1:23" ht="90">
      <c r="A16" s="16">
        <v>28</v>
      </c>
      <c r="B16" s="17" t="s">
        <v>145</v>
      </c>
      <c r="C16" s="18" t="str">
        <f t="shared" si="0"/>
        <v>Sep</v>
      </c>
      <c r="D16" s="16">
        <v>2012</v>
      </c>
      <c r="E16" s="19">
        <v>41542</v>
      </c>
      <c r="F16" s="19">
        <v>41633</v>
      </c>
      <c r="G16" s="17" t="s">
        <v>48</v>
      </c>
      <c r="H16" s="17" t="s">
        <v>147</v>
      </c>
      <c r="I16" s="17" t="s">
        <v>148</v>
      </c>
      <c r="J16" s="17" t="s">
        <v>25</v>
      </c>
      <c r="K16" s="17" t="s">
        <v>26</v>
      </c>
      <c r="L16" s="17" t="s">
        <v>127</v>
      </c>
      <c r="M16" s="17" t="s">
        <v>128</v>
      </c>
      <c r="N16" s="16">
        <v>19140</v>
      </c>
      <c r="O16" s="17" t="s">
        <v>129</v>
      </c>
      <c r="P16" s="17" t="s">
        <v>149</v>
      </c>
      <c r="Q16" s="17" t="s">
        <v>31</v>
      </c>
      <c r="R16" s="17" t="s">
        <v>32</v>
      </c>
      <c r="S16" s="17" t="s">
        <v>150</v>
      </c>
      <c r="T16" s="23">
        <v>3083.43</v>
      </c>
      <c r="U16" s="16">
        <v>7</v>
      </c>
      <c r="V16" s="24">
        <v>0.5</v>
      </c>
      <c r="W16" s="25">
        <v>-1665.0522000000001</v>
      </c>
    </row>
    <row r="17" spans="1:23" ht="30">
      <c r="A17" s="16">
        <v>35</v>
      </c>
      <c r="B17" s="17" t="s">
        <v>151</v>
      </c>
      <c r="C17" s="18" t="str">
        <f t="shared" si="0"/>
        <v>Sep</v>
      </c>
      <c r="D17" s="16">
        <v>2014</v>
      </c>
      <c r="E17" s="19">
        <v>41543</v>
      </c>
      <c r="F17" s="19">
        <v>41634</v>
      </c>
      <c r="G17" s="17" t="s">
        <v>22</v>
      </c>
      <c r="H17" s="17" t="s">
        <v>153</v>
      </c>
      <c r="I17" s="17" t="s">
        <v>154</v>
      </c>
      <c r="J17" s="17" t="s">
        <v>84</v>
      </c>
      <c r="K17" s="17" t="s">
        <v>26</v>
      </c>
      <c r="L17" s="17" t="s">
        <v>155</v>
      </c>
      <c r="M17" s="17" t="s">
        <v>86</v>
      </c>
      <c r="N17" s="16">
        <v>77095</v>
      </c>
      <c r="O17" s="17" t="s">
        <v>87</v>
      </c>
      <c r="P17" s="17" t="s">
        <v>156</v>
      </c>
      <c r="Q17" s="17" t="s">
        <v>43</v>
      </c>
      <c r="R17" s="17" t="s">
        <v>70</v>
      </c>
      <c r="S17" s="17" t="s">
        <v>157</v>
      </c>
      <c r="T17" s="23">
        <v>29.472000000000001</v>
      </c>
      <c r="U17" s="16">
        <v>3</v>
      </c>
      <c r="V17" s="24">
        <v>0.2</v>
      </c>
      <c r="W17" s="25">
        <v>9.9467999999999996</v>
      </c>
    </row>
    <row r="18" spans="1:23" ht="30">
      <c r="A18" s="16">
        <v>36</v>
      </c>
      <c r="B18" s="17" t="s">
        <v>158</v>
      </c>
      <c r="C18" s="18" t="str">
        <f t="shared" si="0"/>
        <v>Sep</v>
      </c>
      <c r="D18" s="16">
        <v>2013</v>
      </c>
      <c r="E18" s="19">
        <v>41544</v>
      </c>
      <c r="F18" s="19">
        <v>41635</v>
      </c>
      <c r="G18" s="17" t="s">
        <v>159</v>
      </c>
      <c r="H18" s="17" t="s">
        <v>160</v>
      </c>
      <c r="I18" s="17" t="s">
        <v>161</v>
      </c>
      <c r="J18" s="17" t="s">
        <v>38</v>
      </c>
      <c r="K18" s="17" t="s">
        <v>26</v>
      </c>
      <c r="L18" s="17" t="s">
        <v>162</v>
      </c>
      <c r="M18" s="17" t="s">
        <v>86</v>
      </c>
      <c r="N18" s="16">
        <v>75080</v>
      </c>
      <c r="O18" s="17" t="s">
        <v>87</v>
      </c>
      <c r="P18" s="17" t="s">
        <v>163</v>
      </c>
      <c r="Q18" s="17" t="s">
        <v>164</v>
      </c>
      <c r="R18" s="17" t="s">
        <v>165</v>
      </c>
      <c r="S18" s="17" t="s">
        <v>166</v>
      </c>
      <c r="T18" s="23">
        <v>1097.5440000000001</v>
      </c>
      <c r="U18" s="16">
        <v>7</v>
      </c>
      <c r="V18" s="24">
        <v>0.2</v>
      </c>
      <c r="W18" s="25">
        <v>123.47369999999999</v>
      </c>
    </row>
    <row r="19" spans="1:23" ht="75">
      <c r="A19" s="16">
        <v>38</v>
      </c>
      <c r="B19" s="17" t="s">
        <v>167</v>
      </c>
      <c r="C19" s="18" t="str">
        <f t="shared" si="0"/>
        <v>Sep</v>
      </c>
      <c r="D19" s="16">
        <v>2012</v>
      </c>
      <c r="E19" s="19">
        <v>41545</v>
      </c>
      <c r="F19" s="19">
        <v>41636</v>
      </c>
      <c r="G19" s="17" t="s">
        <v>48</v>
      </c>
      <c r="H19" s="17" t="s">
        <v>169</v>
      </c>
      <c r="I19" s="17" t="s">
        <v>170</v>
      </c>
      <c r="J19" s="17" t="s">
        <v>84</v>
      </c>
      <c r="K19" s="17" t="s">
        <v>26</v>
      </c>
      <c r="L19" s="17" t="s">
        <v>155</v>
      </c>
      <c r="M19" s="17" t="s">
        <v>86</v>
      </c>
      <c r="N19" s="16">
        <v>77041</v>
      </c>
      <c r="O19" s="17" t="s">
        <v>87</v>
      </c>
      <c r="P19" s="17" t="s">
        <v>171</v>
      </c>
      <c r="Q19" s="17" t="s">
        <v>43</v>
      </c>
      <c r="R19" s="17" t="s">
        <v>172</v>
      </c>
      <c r="S19" s="17" t="s">
        <v>173</v>
      </c>
      <c r="T19" s="23">
        <v>113.328</v>
      </c>
      <c r="U19" s="16">
        <v>9</v>
      </c>
      <c r="V19" s="24">
        <v>0.2</v>
      </c>
      <c r="W19" s="25">
        <v>35.414999999999999</v>
      </c>
    </row>
    <row r="20" spans="1:23" ht="30">
      <c r="A20" s="16">
        <v>42</v>
      </c>
      <c r="B20" s="17" t="s">
        <v>174</v>
      </c>
      <c r="C20" s="18" t="str">
        <f t="shared" si="0"/>
        <v>Sep</v>
      </c>
      <c r="D20" s="16">
        <v>2014</v>
      </c>
      <c r="E20" s="19">
        <v>41546</v>
      </c>
      <c r="F20" s="19">
        <v>41637</v>
      </c>
      <c r="G20" s="17" t="s">
        <v>48</v>
      </c>
      <c r="H20" s="17" t="s">
        <v>176</v>
      </c>
      <c r="I20" s="17" t="s">
        <v>177</v>
      </c>
      <c r="J20" s="17" t="s">
        <v>38</v>
      </c>
      <c r="K20" s="17" t="s">
        <v>26</v>
      </c>
      <c r="L20" s="17" t="s">
        <v>178</v>
      </c>
      <c r="M20" s="17" t="s">
        <v>179</v>
      </c>
      <c r="N20" s="16">
        <v>60540</v>
      </c>
      <c r="O20" s="17" t="s">
        <v>87</v>
      </c>
      <c r="P20" s="17" t="s">
        <v>180</v>
      </c>
      <c r="Q20" s="17" t="s">
        <v>164</v>
      </c>
      <c r="R20" s="17" t="s">
        <v>165</v>
      </c>
      <c r="S20" s="17" t="s">
        <v>181</v>
      </c>
      <c r="T20" s="23">
        <v>147.16800000000001</v>
      </c>
      <c r="U20" s="16">
        <v>4</v>
      </c>
      <c r="V20" s="24">
        <v>0.2</v>
      </c>
      <c r="W20" s="25">
        <v>16.5564</v>
      </c>
    </row>
    <row r="21" spans="1:23" ht="60">
      <c r="A21" s="16">
        <v>43</v>
      </c>
      <c r="B21" s="17" t="s">
        <v>182</v>
      </c>
      <c r="C21" s="18" t="str">
        <f t="shared" si="0"/>
        <v>Sep</v>
      </c>
      <c r="D21" s="16">
        <v>2013</v>
      </c>
      <c r="E21" s="19">
        <v>41547</v>
      </c>
      <c r="F21" s="19">
        <v>41638</v>
      </c>
      <c r="G21" s="17" t="s">
        <v>48</v>
      </c>
      <c r="H21" s="17" t="s">
        <v>184</v>
      </c>
      <c r="I21" s="17" t="s">
        <v>185</v>
      </c>
      <c r="J21" s="17" t="s">
        <v>38</v>
      </c>
      <c r="K21" s="17" t="s">
        <v>26</v>
      </c>
      <c r="L21" s="17" t="s">
        <v>39</v>
      </c>
      <c r="M21" s="17" t="s">
        <v>40</v>
      </c>
      <c r="N21" s="16">
        <v>90049</v>
      </c>
      <c r="O21" s="17" t="s">
        <v>41</v>
      </c>
      <c r="P21" s="17" t="s">
        <v>186</v>
      </c>
      <c r="Q21" s="17" t="s">
        <v>43</v>
      </c>
      <c r="R21" s="17" t="s">
        <v>98</v>
      </c>
      <c r="S21" s="17" t="s">
        <v>187</v>
      </c>
      <c r="T21" s="23">
        <v>77.88</v>
      </c>
      <c r="U21" s="16">
        <v>2</v>
      </c>
      <c r="V21" s="24">
        <v>0</v>
      </c>
      <c r="W21" s="25">
        <v>3.8940000000000001</v>
      </c>
    </row>
    <row r="22" spans="1:23" ht="105">
      <c r="A22" s="16">
        <v>44</v>
      </c>
      <c r="B22" s="17" t="s">
        <v>188</v>
      </c>
      <c r="C22" s="18" t="str">
        <f t="shared" si="0"/>
        <v>Oct</v>
      </c>
      <c r="D22" s="16">
        <v>2014</v>
      </c>
      <c r="E22" s="19">
        <v>41548</v>
      </c>
      <c r="F22" s="19">
        <v>41639</v>
      </c>
      <c r="G22" s="17" t="s">
        <v>48</v>
      </c>
      <c r="H22" s="17" t="s">
        <v>190</v>
      </c>
      <c r="I22" s="17" t="s">
        <v>191</v>
      </c>
      <c r="J22" s="17" t="s">
        <v>38</v>
      </c>
      <c r="K22" s="17" t="s">
        <v>26</v>
      </c>
      <c r="L22" s="17" t="s">
        <v>192</v>
      </c>
      <c r="M22" s="17" t="s">
        <v>52</v>
      </c>
      <c r="N22" s="16">
        <v>32935</v>
      </c>
      <c r="O22" s="17" t="s">
        <v>29</v>
      </c>
      <c r="P22" s="17" t="s">
        <v>193</v>
      </c>
      <c r="Q22" s="17" t="s">
        <v>43</v>
      </c>
      <c r="R22" s="17" t="s">
        <v>98</v>
      </c>
      <c r="S22" s="17" t="s">
        <v>194</v>
      </c>
      <c r="T22" s="23">
        <v>95.616</v>
      </c>
      <c r="U22" s="16">
        <v>2</v>
      </c>
      <c r="V22" s="24">
        <v>0.2</v>
      </c>
      <c r="W22" s="25">
        <v>9.5616000000000003</v>
      </c>
    </row>
    <row r="23" spans="1:23" ht="75">
      <c r="A23" s="16">
        <v>45</v>
      </c>
      <c r="B23" s="17" t="s">
        <v>195</v>
      </c>
      <c r="C23" s="18" t="str">
        <f t="shared" si="0"/>
        <v>Oct</v>
      </c>
      <c r="D23" s="16">
        <v>2013</v>
      </c>
      <c r="E23" s="19">
        <v>41549</v>
      </c>
      <c r="F23" s="19">
        <v>41640</v>
      </c>
      <c r="G23" s="17" t="s">
        <v>159</v>
      </c>
      <c r="H23" s="17" t="s">
        <v>197</v>
      </c>
      <c r="I23" s="17" t="s">
        <v>198</v>
      </c>
      <c r="J23" s="17" t="s">
        <v>38</v>
      </c>
      <c r="K23" s="17" t="s">
        <v>26</v>
      </c>
      <c r="L23" s="17" t="s">
        <v>199</v>
      </c>
      <c r="M23" s="17" t="s">
        <v>200</v>
      </c>
      <c r="N23" s="16">
        <v>55122</v>
      </c>
      <c r="O23" s="17" t="s">
        <v>87</v>
      </c>
      <c r="P23" s="17" t="s">
        <v>201</v>
      </c>
      <c r="Q23" s="17" t="s">
        <v>164</v>
      </c>
      <c r="R23" s="17" t="s">
        <v>202</v>
      </c>
      <c r="S23" s="17" t="s">
        <v>203</v>
      </c>
      <c r="T23" s="23">
        <v>45.98</v>
      </c>
      <c r="U23" s="16">
        <v>2</v>
      </c>
      <c r="V23" s="24">
        <v>0</v>
      </c>
      <c r="W23" s="25">
        <v>19.7714</v>
      </c>
    </row>
    <row r="24" spans="1:23" ht="90">
      <c r="A24" s="16">
        <v>47</v>
      </c>
      <c r="B24" s="17" t="s">
        <v>204</v>
      </c>
      <c r="C24" s="18" t="str">
        <f t="shared" si="0"/>
        <v>Oct</v>
      </c>
      <c r="D24" s="16">
        <v>2011</v>
      </c>
      <c r="E24" s="19">
        <v>41550</v>
      </c>
      <c r="F24" s="19">
        <v>41641</v>
      </c>
      <c r="G24" s="17" t="s">
        <v>22</v>
      </c>
      <c r="H24" s="17" t="s">
        <v>206</v>
      </c>
      <c r="I24" s="17" t="s">
        <v>207</v>
      </c>
      <c r="J24" s="17" t="s">
        <v>25</v>
      </c>
      <c r="K24" s="17" t="s">
        <v>26</v>
      </c>
      <c r="L24" s="17" t="s">
        <v>208</v>
      </c>
      <c r="M24" s="17" t="s">
        <v>209</v>
      </c>
      <c r="N24" s="16">
        <v>48185</v>
      </c>
      <c r="O24" s="17" t="s">
        <v>87</v>
      </c>
      <c r="P24" s="17" t="s">
        <v>210</v>
      </c>
      <c r="Q24" s="17" t="s">
        <v>43</v>
      </c>
      <c r="R24" s="17" t="s">
        <v>98</v>
      </c>
      <c r="S24" s="17" t="s">
        <v>211</v>
      </c>
      <c r="T24" s="23">
        <v>211.96</v>
      </c>
      <c r="U24" s="16">
        <v>4</v>
      </c>
      <c r="V24" s="24">
        <v>0</v>
      </c>
      <c r="W24" s="25">
        <v>8.4784000000000006</v>
      </c>
    </row>
    <row r="25" spans="1:23" ht="75">
      <c r="A25" s="16">
        <v>48</v>
      </c>
      <c r="B25" s="17" t="s">
        <v>212</v>
      </c>
      <c r="C25" s="18" t="str">
        <f t="shared" si="0"/>
        <v>Oct</v>
      </c>
      <c r="D25" s="16">
        <v>2013</v>
      </c>
      <c r="E25" s="19">
        <v>41551</v>
      </c>
      <c r="F25" s="19">
        <v>41642</v>
      </c>
      <c r="G25" s="17" t="s">
        <v>48</v>
      </c>
      <c r="H25" s="17" t="s">
        <v>214</v>
      </c>
      <c r="I25" s="17" t="s">
        <v>215</v>
      </c>
      <c r="J25" s="17" t="s">
        <v>25</v>
      </c>
      <c r="K25" s="17" t="s">
        <v>26</v>
      </c>
      <c r="L25" s="17" t="s">
        <v>216</v>
      </c>
      <c r="M25" s="17" t="s">
        <v>217</v>
      </c>
      <c r="N25" s="16">
        <v>19901</v>
      </c>
      <c r="O25" s="17" t="s">
        <v>129</v>
      </c>
      <c r="P25" s="17" t="s">
        <v>218</v>
      </c>
      <c r="Q25" s="17" t="s">
        <v>164</v>
      </c>
      <c r="R25" s="17" t="s">
        <v>202</v>
      </c>
      <c r="S25" s="17" t="s">
        <v>219</v>
      </c>
      <c r="T25" s="23">
        <v>45</v>
      </c>
      <c r="U25" s="16">
        <v>3</v>
      </c>
      <c r="V25" s="24">
        <v>0</v>
      </c>
      <c r="W25" s="25">
        <v>4.95</v>
      </c>
    </row>
    <row r="26" spans="1:23" ht="90">
      <c r="A26" s="16">
        <v>50</v>
      </c>
      <c r="B26" s="17" t="s">
        <v>220</v>
      </c>
      <c r="C26" s="18" t="str">
        <f t="shared" si="0"/>
        <v>Oct</v>
      </c>
      <c r="D26" s="16">
        <v>2012</v>
      </c>
      <c r="E26" s="19">
        <v>41552</v>
      </c>
      <c r="F26" s="19">
        <v>41643</v>
      </c>
      <c r="G26" s="17" t="s">
        <v>48</v>
      </c>
      <c r="H26" s="17" t="s">
        <v>222</v>
      </c>
      <c r="I26" s="17" t="s">
        <v>223</v>
      </c>
      <c r="J26" s="17" t="s">
        <v>25</v>
      </c>
      <c r="K26" s="17" t="s">
        <v>26</v>
      </c>
      <c r="L26" s="17" t="s">
        <v>224</v>
      </c>
      <c r="M26" s="17" t="s">
        <v>225</v>
      </c>
      <c r="N26" s="16">
        <v>47150</v>
      </c>
      <c r="O26" s="17" t="s">
        <v>87</v>
      </c>
      <c r="P26" s="17" t="s">
        <v>226</v>
      </c>
      <c r="Q26" s="17" t="s">
        <v>43</v>
      </c>
      <c r="R26" s="17" t="s">
        <v>78</v>
      </c>
      <c r="S26" s="17" t="s">
        <v>227</v>
      </c>
      <c r="T26" s="23">
        <v>38.22</v>
      </c>
      <c r="U26" s="16">
        <v>6</v>
      </c>
      <c r="V26" s="24">
        <v>0</v>
      </c>
      <c r="W26" s="25">
        <v>17.9634</v>
      </c>
    </row>
    <row r="27" spans="1:23" ht="30">
      <c r="A27" s="16">
        <v>54</v>
      </c>
      <c r="B27" s="17" t="s">
        <v>228</v>
      </c>
      <c r="C27" s="18" t="str">
        <f t="shared" si="0"/>
        <v>Oct</v>
      </c>
      <c r="D27" s="16">
        <v>2013</v>
      </c>
      <c r="E27" s="19">
        <v>41553</v>
      </c>
      <c r="F27" s="19">
        <v>41644</v>
      </c>
      <c r="G27" s="17" t="s">
        <v>48</v>
      </c>
      <c r="H27" s="17" t="s">
        <v>230</v>
      </c>
      <c r="I27" s="17" t="s">
        <v>231</v>
      </c>
      <c r="J27" s="17" t="s">
        <v>38</v>
      </c>
      <c r="K27" s="17" t="s">
        <v>26</v>
      </c>
      <c r="L27" s="17" t="s">
        <v>232</v>
      </c>
      <c r="M27" s="17" t="s">
        <v>233</v>
      </c>
      <c r="N27" s="16">
        <v>10024</v>
      </c>
      <c r="O27" s="17" t="s">
        <v>129</v>
      </c>
      <c r="P27" s="17" t="s">
        <v>234</v>
      </c>
      <c r="Q27" s="17" t="s">
        <v>43</v>
      </c>
      <c r="R27" s="17" t="s">
        <v>235</v>
      </c>
      <c r="S27" s="17" t="s">
        <v>236</v>
      </c>
      <c r="T27" s="23">
        <v>15.26</v>
      </c>
      <c r="U27" s="16">
        <v>7</v>
      </c>
      <c r="V27" s="24">
        <v>0</v>
      </c>
      <c r="W27" s="25">
        <v>6.2565999999999997</v>
      </c>
    </row>
    <row r="28" spans="1:23" ht="45">
      <c r="A28" s="16">
        <v>56</v>
      </c>
      <c r="B28" s="17" t="s">
        <v>237</v>
      </c>
      <c r="C28" s="18" t="str">
        <f t="shared" si="0"/>
        <v>Oct</v>
      </c>
      <c r="D28" s="16">
        <v>2013</v>
      </c>
      <c r="E28" s="19">
        <v>41554</v>
      </c>
      <c r="F28" s="19">
        <v>41645</v>
      </c>
      <c r="G28" s="17" t="s">
        <v>159</v>
      </c>
      <c r="H28" s="17" t="s">
        <v>239</v>
      </c>
      <c r="I28" s="17" t="s">
        <v>240</v>
      </c>
      <c r="J28" s="17" t="s">
        <v>25</v>
      </c>
      <c r="K28" s="17" t="s">
        <v>26</v>
      </c>
      <c r="L28" s="17" t="s">
        <v>241</v>
      </c>
      <c r="M28" s="17" t="s">
        <v>233</v>
      </c>
      <c r="N28" s="16">
        <v>12180</v>
      </c>
      <c r="O28" s="17" t="s">
        <v>129</v>
      </c>
      <c r="P28" s="17" t="s">
        <v>242</v>
      </c>
      <c r="Q28" s="17" t="s">
        <v>43</v>
      </c>
      <c r="R28" s="17" t="s">
        <v>98</v>
      </c>
      <c r="S28" s="17" t="s">
        <v>243</v>
      </c>
      <c r="T28" s="23">
        <v>208.56</v>
      </c>
      <c r="U28" s="16">
        <v>6</v>
      </c>
      <c r="V28" s="24">
        <v>0</v>
      </c>
      <c r="W28" s="25">
        <v>52.14</v>
      </c>
    </row>
    <row r="29" spans="1:23" ht="75">
      <c r="A29" s="16">
        <v>63</v>
      </c>
      <c r="B29" s="17" t="s">
        <v>244</v>
      </c>
      <c r="C29" s="18" t="str">
        <f t="shared" si="0"/>
        <v>Oct</v>
      </c>
      <c r="D29" s="16">
        <v>2012</v>
      </c>
      <c r="E29" s="19">
        <v>41555</v>
      </c>
      <c r="F29" s="19">
        <v>41646</v>
      </c>
      <c r="G29" s="17" t="s">
        <v>48</v>
      </c>
      <c r="H29" s="17" t="s">
        <v>246</v>
      </c>
      <c r="I29" s="17" t="s">
        <v>247</v>
      </c>
      <c r="J29" s="17" t="s">
        <v>25</v>
      </c>
      <c r="K29" s="17" t="s">
        <v>26</v>
      </c>
      <c r="L29" s="17" t="s">
        <v>39</v>
      </c>
      <c r="M29" s="17" t="s">
        <v>40</v>
      </c>
      <c r="N29" s="16">
        <v>90004</v>
      </c>
      <c r="O29" s="17" t="s">
        <v>41</v>
      </c>
      <c r="P29" s="17" t="s">
        <v>248</v>
      </c>
      <c r="Q29" s="17" t="s">
        <v>164</v>
      </c>
      <c r="R29" s="17" t="s">
        <v>202</v>
      </c>
      <c r="S29" s="17" t="s">
        <v>249</v>
      </c>
      <c r="T29" s="23">
        <v>13.98</v>
      </c>
      <c r="U29" s="16">
        <v>2</v>
      </c>
      <c r="V29" s="24">
        <v>0</v>
      </c>
      <c r="W29" s="25">
        <v>6.1512000000000002</v>
      </c>
    </row>
    <row r="30" spans="1:23" ht="60">
      <c r="A30" s="16">
        <v>67</v>
      </c>
      <c r="B30" s="17" t="s">
        <v>250</v>
      </c>
      <c r="C30" s="18" t="str">
        <f t="shared" si="0"/>
        <v>Oct</v>
      </c>
      <c r="D30" s="16">
        <v>2012</v>
      </c>
      <c r="E30" s="19">
        <v>41556</v>
      </c>
      <c r="F30" s="19">
        <v>41647</v>
      </c>
      <c r="G30" s="17" t="s">
        <v>48</v>
      </c>
      <c r="H30" s="17" t="s">
        <v>251</v>
      </c>
      <c r="I30" s="17" t="s">
        <v>252</v>
      </c>
      <c r="J30" s="17" t="s">
        <v>84</v>
      </c>
      <c r="K30" s="17" t="s">
        <v>26</v>
      </c>
      <c r="L30" s="17" t="s">
        <v>253</v>
      </c>
      <c r="M30" s="17" t="s">
        <v>179</v>
      </c>
      <c r="N30" s="16">
        <v>60610</v>
      </c>
      <c r="O30" s="17" t="s">
        <v>87</v>
      </c>
      <c r="P30" s="17" t="s">
        <v>254</v>
      </c>
      <c r="Q30" s="17" t="s">
        <v>31</v>
      </c>
      <c r="R30" s="17" t="s">
        <v>131</v>
      </c>
      <c r="S30" s="17" t="s">
        <v>255</v>
      </c>
      <c r="T30" s="23">
        <v>213.11500000000001</v>
      </c>
      <c r="U30" s="16">
        <v>5</v>
      </c>
      <c r="V30" s="24">
        <v>0.3</v>
      </c>
      <c r="W30" s="25">
        <v>-15.2225</v>
      </c>
    </row>
    <row r="31" spans="1:23" ht="90">
      <c r="A31" s="16">
        <v>68</v>
      </c>
      <c r="B31" s="17" t="s">
        <v>256</v>
      </c>
      <c r="C31" s="18" t="str">
        <f t="shared" si="0"/>
        <v>Oct</v>
      </c>
      <c r="D31" s="16">
        <v>2011</v>
      </c>
      <c r="E31" s="19">
        <v>41557</v>
      </c>
      <c r="F31" s="19">
        <v>41648</v>
      </c>
      <c r="G31" s="17" t="s">
        <v>48</v>
      </c>
      <c r="H31" s="17" t="s">
        <v>257</v>
      </c>
      <c r="I31" s="17" t="s">
        <v>258</v>
      </c>
      <c r="J31" s="17" t="s">
        <v>38</v>
      </c>
      <c r="K31" s="17" t="s">
        <v>26</v>
      </c>
      <c r="L31" s="17" t="s">
        <v>259</v>
      </c>
      <c r="M31" s="17" t="s">
        <v>260</v>
      </c>
      <c r="N31" s="16">
        <v>85234</v>
      </c>
      <c r="O31" s="17" t="s">
        <v>41</v>
      </c>
      <c r="P31" s="17" t="s">
        <v>261</v>
      </c>
      <c r="Q31" s="17" t="s">
        <v>43</v>
      </c>
      <c r="R31" s="17" t="s">
        <v>113</v>
      </c>
      <c r="S31" s="17" t="s">
        <v>262</v>
      </c>
      <c r="T31" s="23">
        <v>1113.0239999999999</v>
      </c>
      <c r="U31" s="16">
        <v>8</v>
      </c>
      <c r="V31" s="24">
        <v>0.2</v>
      </c>
      <c r="W31" s="25">
        <v>111.30240000000001</v>
      </c>
    </row>
    <row r="32" spans="1:23" ht="90">
      <c r="A32" s="16">
        <v>70</v>
      </c>
      <c r="B32" s="17" t="s">
        <v>263</v>
      </c>
      <c r="C32" s="18" t="str">
        <f t="shared" si="0"/>
        <v>Oct</v>
      </c>
      <c r="D32" s="16">
        <v>2013</v>
      </c>
      <c r="E32" s="19">
        <v>41558</v>
      </c>
      <c r="F32" s="19">
        <v>41649</v>
      </c>
      <c r="G32" s="17" t="s">
        <v>159</v>
      </c>
      <c r="H32" s="17" t="s">
        <v>264</v>
      </c>
      <c r="I32" s="17" t="s">
        <v>265</v>
      </c>
      <c r="J32" s="17" t="s">
        <v>25</v>
      </c>
      <c r="K32" s="17" t="s">
        <v>26</v>
      </c>
      <c r="L32" s="17" t="s">
        <v>266</v>
      </c>
      <c r="M32" s="17" t="s">
        <v>267</v>
      </c>
      <c r="N32" s="16">
        <v>22153</v>
      </c>
      <c r="O32" s="17" t="s">
        <v>29</v>
      </c>
      <c r="P32" s="17" t="s">
        <v>268</v>
      </c>
      <c r="Q32" s="17" t="s">
        <v>43</v>
      </c>
      <c r="R32" s="17" t="s">
        <v>70</v>
      </c>
      <c r="S32" s="17" t="s">
        <v>269</v>
      </c>
      <c r="T32" s="23">
        <v>75.88</v>
      </c>
      <c r="U32" s="16">
        <v>2</v>
      </c>
      <c r="V32" s="24">
        <v>0</v>
      </c>
      <c r="W32" s="25">
        <v>35.663600000000002</v>
      </c>
    </row>
    <row r="33" spans="1:23" ht="90">
      <c r="A33" s="16">
        <v>71</v>
      </c>
      <c r="B33" s="17" t="s">
        <v>270</v>
      </c>
      <c r="C33" s="18" t="str">
        <f t="shared" si="0"/>
        <v>Oct</v>
      </c>
      <c r="D33" s="16">
        <v>2013</v>
      </c>
      <c r="E33" s="19">
        <v>41559</v>
      </c>
      <c r="F33" s="19">
        <v>41650</v>
      </c>
      <c r="G33" s="17" t="s">
        <v>48</v>
      </c>
      <c r="H33" s="17" t="s">
        <v>272</v>
      </c>
      <c r="I33" s="17" t="s">
        <v>273</v>
      </c>
      <c r="J33" s="17" t="s">
        <v>25</v>
      </c>
      <c r="K33" s="17" t="s">
        <v>26</v>
      </c>
      <c r="L33" s="17" t="s">
        <v>232</v>
      </c>
      <c r="M33" s="17" t="s">
        <v>233</v>
      </c>
      <c r="N33" s="16">
        <v>10009</v>
      </c>
      <c r="O33" s="17" t="s">
        <v>129</v>
      </c>
      <c r="P33" s="17" t="s">
        <v>274</v>
      </c>
      <c r="Q33" s="17" t="s">
        <v>43</v>
      </c>
      <c r="R33" s="17" t="s">
        <v>78</v>
      </c>
      <c r="S33" s="17" t="s">
        <v>275</v>
      </c>
      <c r="T33" s="23">
        <v>4.6159999999999997</v>
      </c>
      <c r="U33" s="16">
        <v>1</v>
      </c>
      <c r="V33" s="24">
        <v>0.2</v>
      </c>
      <c r="W33" s="25">
        <v>1.7310000000000001</v>
      </c>
    </row>
    <row r="34" spans="1:23" ht="90">
      <c r="A34" s="16">
        <v>72</v>
      </c>
      <c r="B34" s="17" t="s">
        <v>276</v>
      </c>
      <c r="C34" s="18" t="str">
        <f t="shared" si="0"/>
        <v>Oct</v>
      </c>
      <c r="D34" s="16">
        <v>2014</v>
      </c>
      <c r="E34" s="19">
        <v>41560</v>
      </c>
      <c r="F34" s="19">
        <v>41651</v>
      </c>
      <c r="G34" s="17" t="s">
        <v>22</v>
      </c>
      <c r="H34" s="17" t="s">
        <v>147</v>
      </c>
      <c r="I34" s="17" t="s">
        <v>148</v>
      </c>
      <c r="J34" s="17" t="s">
        <v>25</v>
      </c>
      <c r="K34" s="17" t="s">
        <v>26</v>
      </c>
      <c r="L34" s="17" t="s">
        <v>278</v>
      </c>
      <c r="M34" s="17" t="s">
        <v>209</v>
      </c>
      <c r="N34" s="16">
        <v>49201</v>
      </c>
      <c r="O34" s="17" t="s">
        <v>87</v>
      </c>
      <c r="P34" s="17" t="s">
        <v>279</v>
      </c>
      <c r="Q34" s="17" t="s">
        <v>43</v>
      </c>
      <c r="R34" s="17" t="s">
        <v>70</v>
      </c>
      <c r="S34" s="17" t="s">
        <v>280</v>
      </c>
      <c r="T34" s="23">
        <v>19.05</v>
      </c>
      <c r="U34" s="16">
        <v>3</v>
      </c>
      <c r="V34" s="24">
        <v>0</v>
      </c>
      <c r="W34" s="25">
        <v>8.7629999999999999</v>
      </c>
    </row>
    <row r="35" spans="1:23" ht="60">
      <c r="A35" s="16">
        <v>73</v>
      </c>
      <c r="B35" s="17" t="s">
        <v>281</v>
      </c>
      <c r="C35" s="18" t="str">
        <f t="shared" si="0"/>
        <v>Oct</v>
      </c>
      <c r="D35" s="16">
        <v>2012</v>
      </c>
      <c r="E35" s="19">
        <v>41561</v>
      </c>
      <c r="F35" s="19">
        <v>41652</v>
      </c>
      <c r="G35" s="17" t="s">
        <v>48</v>
      </c>
      <c r="H35" s="17" t="s">
        <v>282</v>
      </c>
      <c r="I35" s="17" t="s">
        <v>283</v>
      </c>
      <c r="J35" s="17" t="s">
        <v>25</v>
      </c>
      <c r="K35" s="17" t="s">
        <v>26</v>
      </c>
      <c r="L35" s="17" t="s">
        <v>284</v>
      </c>
      <c r="M35" s="17" t="s">
        <v>285</v>
      </c>
      <c r="N35" s="16">
        <v>38109</v>
      </c>
      <c r="O35" s="17" t="s">
        <v>29</v>
      </c>
      <c r="P35" s="17" t="s">
        <v>286</v>
      </c>
      <c r="Q35" s="17" t="s">
        <v>31</v>
      </c>
      <c r="R35" s="17" t="s">
        <v>131</v>
      </c>
      <c r="S35" s="17" t="s">
        <v>287</v>
      </c>
      <c r="T35" s="23">
        <v>831.93600000000004</v>
      </c>
      <c r="U35" s="16">
        <v>8</v>
      </c>
      <c r="V35" s="24">
        <v>0.2</v>
      </c>
      <c r="W35" s="25">
        <v>-114.3912</v>
      </c>
    </row>
    <row r="36" spans="1:23" ht="30">
      <c r="A36" s="16">
        <v>76</v>
      </c>
      <c r="B36" s="17" t="s">
        <v>288</v>
      </c>
      <c r="C36" s="18" t="str">
        <f t="shared" si="0"/>
        <v>Oct</v>
      </c>
      <c r="D36" s="16">
        <v>2014</v>
      </c>
      <c r="E36" s="19">
        <v>41562</v>
      </c>
      <c r="F36" s="19">
        <v>41653</v>
      </c>
      <c r="G36" s="17" t="s">
        <v>159</v>
      </c>
      <c r="H36" s="17" t="s">
        <v>289</v>
      </c>
      <c r="I36" s="17" t="s">
        <v>290</v>
      </c>
      <c r="J36" s="17" t="s">
        <v>38</v>
      </c>
      <c r="K36" s="17" t="s">
        <v>26</v>
      </c>
      <c r="L36" s="17" t="s">
        <v>155</v>
      </c>
      <c r="M36" s="17" t="s">
        <v>86</v>
      </c>
      <c r="N36" s="16">
        <v>77041</v>
      </c>
      <c r="O36" s="17" t="s">
        <v>87</v>
      </c>
      <c r="P36" s="17" t="s">
        <v>291</v>
      </c>
      <c r="Q36" s="17" t="s">
        <v>43</v>
      </c>
      <c r="R36" s="17" t="s">
        <v>78</v>
      </c>
      <c r="S36" s="17" t="s">
        <v>292</v>
      </c>
      <c r="T36" s="23">
        <v>1.248</v>
      </c>
      <c r="U36" s="16">
        <v>3</v>
      </c>
      <c r="V36" s="24">
        <v>0.8</v>
      </c>
      <c r="W36" s="25">
        <v>-1.9343999999999999</v>
      </c>
    </row>
    <row r="37" spans="1:23" ht="90">
      <c r="A37" s="16">
        <v>79</v>
      </c>
      <c r="B37" s="17" t="s">
        <v>293</v>
      </c>
      <c r="C37" s="18" t="str">
        <f t="shared" si="0"/>
        <v>Oct</v>
      </c>
      <c r="D37" s="16">
        <v>2011</v>
      </c>
      <c r="E37" s="19">
        <v>41563</v>
      </c>
      <c r="F37" s="19">
        <v>41654</v>
      </c>
      <c r="G37" s="17" t="s">
        <v>22</v>
      </c>
      <c r="H37" s="17" t="s">
        <v>282</v>
      </c>
      <c r="I37" s="17" t="s">
        <v>283</v>
      </c>
      <c r="J37" s="17" t="s">
        <v>25</v>
      </c>
      <c r="K37" s="17" t="s">
        <v>26</v>
      </c>
      <c r="L37" s="17" t="s">
        <v>155</v>
      </c>
      <c r="M37" s="17" t="s">
        <v>86</v>
      </c>
      <c r="N37" s="16">
        <v>77070</v>
      </c>
      <c r="O37" s="17" t="s">
        <v>87</v>
      </c>
      <c r="P37" s="17" t="s">
        <v>294</v>
      </c>
      <c r="Q37" s="17" t="s">
        <v>31</v>
      </c>
      <c r="R37" s="17" t="s">
        <v>61</v>
      </c>
      <c r="S37" s="17" t="s">
        <v>295</v>
      </c>
      <c r="T37" s="23">
        <v>19.3</v>
      </c>
      <c r="U37" s="16">
        <v>5</v>
      </c>
      <c r="V37" s="24">
        <v>0.6</v>
      </c>
      <c r="W37" s="25">
        <v>-14.475</v>
      </c>
    </row>
    <row r="38" spans="1:23" ht="60">
      <c r="A38" s="16">
        <v>80</v>
      </c>
      <c r="B38" s="17" t="s">
        <v>296</v>
      </c>
      <c r="C38" s="18" t="str">
        <f t="shared" si="0"/>
        <v>Oct</v>
      </c>
      <c r="D38" s="16">
        <v>2013</v>
      </c>
      <c r="E38" s="19">
        <v>41564</v>
      </c>
      <c r="F38" s="19">
        <v>41655</v>
      </c>
      <c r="G38" s="17" t="s">
        <v>159</v>
      </c>
      <c r="H38" s="17" t="s">
        <v>298</v>
      </c>
      <c r="I38" s="17" t="s">
        <v>299</v>
      </c>
      <c r="J38" s="17" t="s">
        <v>38</v>
      </c>
      <c r="K38" s="17" t="s">
        <v>26</v>
      </c>
      <c r="L38" s="17" t="s">
        <v>300</v>
      </c>
      <c r="M38" s="17" t="s">
        <v>301</v>
      </c>
      <c r="N38" s="16">
        <v>35601</v>
      </c>
      <c r="O38" s="17" t="s">
        <v>29</v>
      </c>
      <c r="P38" s="17" t="s">
        <v>302</v>
      </c>
      <c r="Q38" s="17" t="s">
        <v>43</v>
      </c>
      <c r="R38" s="17" t="s">
        <v>89</v>
      </c>
      <c r="S38" s="17" t="s">
        <v>303</v>
      </c>
      <c r="T38" s="23">
        <v>208.16</v>
      </c>
      <c r="U38" s="16">
        <v>1</v>
      </c>
      <c r="V38" s="24">
        <v>0</v>
      </c>
      <c r="W38" s="25">
        <v>56.203200000000002</v>
      </c>
    </row>
    <row r="39" spans="1:23" ht="90">
      <c r="A39" s="16">
        <v>82</v>
      </c>
      <c r="B39" s="17" t="s">
        <v>304</v>
      </c>
      <c r="C39" s="18" t="str">
        <f t="shared" si="0"/>
        <v>Oct</v>
      </c>
      <c r="D39" s="16">
        <v>2011</v>
      </c>
      <c r="E39" s="19">
        <v>41565</v>
      </c>
      <c r="F39" s="19">
        <v>41656</v>
      </c>
      <c r="G39" s="17" t="s">
        <v>48</v>
      </c>
      <c r="H39" s="17" t="s">
        <v>306</v>
      </c>
      <c r="I39" s="17" t="s">
        <v>307</v>
      </c>
      <c r="J39" s="17" t="s">
        <v>25</v>
      </c>
      <c r="K39" s="17" t="s">
        <v>26</v>
      </c>
      <c r="L39" s="17" t="s">
        <v>111</v>
      </c>
      <c r="M39" s="17" t="s">
        <v>40</v>
      </c>
      <c r="N39" s="16">
        <v>94122</v>
      </c>
      <c r="O39" s="17" t="s">
        <v>41</v>
      </c>
      <c r="P39" s="17" t="s">
        <v>308</v>
      </c>
      <c r="Q39" s="17" t="s">
        <v>43</v>
      </c>
      <c r="R39" s="17" t="s">
        <v>113</v>
      </c>
      <c r="S39" s="17" t="s">
        <v>309</v>
      </c>
      <c r="T39" s="23">
        <v>14.9</v>
      </c>
      <c r="U39" s="16">
        <v>5</v>
      </c>
      <c r="V39" s="24">
        <v>0</v>
      </c>
      <c r="W39" s="25">
        <v>4.1719999999999997</v>
      </c>
    </row>
    <row r="40" spans="1:23" ht="75">
      <c r="A40" s="16">
        <v>84</v>
      </c>
      <c r="B40" s="17" t="s">
        <v>310</v>
      </c>
      <c r="C40" s="18" t="str">
        <f t="shared" si="0"/>
        <v>Oct</v>
      </c>
      <c r="D40" s="16">
        <v>2012</v>
      </c>
      <c r="E40" s="19">
        <v>41566</v>
      </c>
      <c r="F40" s="19">
        <v>41657</v>
      </c>
      <c r="G40" s="17" t="s">
        <v>48</v>
      </c>
      <c r="H40" s="17" t="s">
        <v>311</v>
      </c>
      <c r="I40" s="17" t="s">
        <v>312</v>
      </c>
      <c r="J40" s="17" t="s">
        <v>38</v>
      </c>
      <c r="K40" s="17" t="s">
        <v>26</v>
      </c>
      <c r="L40" s="17" t="s">
        <v>313</v>
      </c>
      <c r="M40" s="17" t="s">
        <v>68</v>
      </c>
      <c r="N40" s="16">
        <v>27707</v>
      </c>
      <c r="O40" s="17" t="s">
        <v>29</v>
      </c>
      <c r="P40" s="17" t="s">
        <v>314</v>
      </c>
      <c r="Q40" s="17" t="s">
        <v>43</v>
      </c>
      <c r="R40" s="17" t="s">
        <v>172</v>
      </c>
      <c r="S40" s="17" t="s">
        <v>315</v>
      </c>
      <c r="T40" s="23">
        <v>200.98400000000001</v>
      </c>
      <c r="U40" s="16">
        <v>7</v>
      </c>
      <c r="V40" s="24">
        <v>0.2</v>
      </c>
      <c r="W40" s="25">
        <v>62.807499999999997</v>
      </c>
    </row>
    <row r="41" spans="1:23" ht="45">
      <c r="A41" s="16">
        <v>85</v>
      </c>
      <c r="B41" s="17" t="s">
        <v>316</v>
      </c>
      <c r="C41" s="18" t="str">
        <f t="shared" si="0"/>
        <v>Oct</v>
      </c>
      <c r="D41" s="16">
        <v>2014</v>
      </c>
      <c r="E41" s="19">
        <v>41567</v>
      </c>
      <c r="F41" s="19">
        <v>41658</v>
      </c>
      <c r="G41" s="17" t="s">
        <v>159</v>
      </c>
      <c r="H41" s="17" t="s">
        <v>318</v>
      </c>
      <c r="I41" s="17" t="s">
        <v>319</v>
      </c>
      <c r="J41" s="17" t="s">
        <v>84</v>
      </c>
      <c r="K41" s="17" t="s">
        <v>26</v>
      </c>
      <c r="L41" s="17" t="s">
        <v>253</v>
      </c>
      <c r="M41" s="17" t="s">
        <v>179</v>
      </c>
      <c r="N41" s="16">
        <v>60623</v>
      </c>
      <c r="O41" s="17" t="s">
        <v>87</v>
      </c>
      <c r="P41" s="17" t="s">
        <v>320</v>
      </c>
      <c r="Q41" s="17" t="s">
        <v>43</v>
      </c>
      <c r="R41" s="17" t="s">
        <v>98</v>
      </c>
      <c r="S41" s="17" t="s">
        <v>321</v>
      </c>
      <c r="T41" s="23">
        <v>230.376</v>
      </c>
      <c r="U41" s="16">
        <v>3</v>
      </c>
      <c r="V41" s="24">
        <v>0.2</v>
      </c>
      <c r="W41" s="25">
        <v>-48.954900000000002</v>
      </c>
    </row>
    <row r="42" spans="1:23" ht="45">
      <c r="A42" s="16">
        <v>86</v>
      </c>
      <c r="B42" s="17" t="s">
        <v>322</v>
      </c>
      <c r="C42" s="18" t="str">
        <f t="shared" si="0"/>
        <v>Oct</v>
      </c>
      <c r="D42" s="16">
        <v>2014</v>
      </c>
      <c r="E42" s="19">
        <v>41568</v>
      </c>
      <c r="F42" s="19">
        <v>41659</v>
      </c>
      <c r="G42" s="17" t="s">
        <v>22</v>
      </c>
      <c r="H42" s="17" t="s">
        <v>206</v>
      </c>
      <c r="I42" s="17" t="s">
        <v>207</v>
      </c>
      <c r="J42" s="17" t="s">
        <v>25</v>
      </c>
      <c r="K42" s="17" t="s">
        <v>26</v>
      </c>
      <c r="L42" s="17" t="s">
        <v>324</v>
      </c>
      <c r="M42" s="17" t="s">
        <v>325</v>
      </c>
      <c r="N42" s="16">
        <v>29203</v>
      </c>
      <c r="O42" s="17" t="s">
        <v>29</v>
      </c>
      <c r="P42" s="17" t="s">
        <v>326</v>
      </c>
      <c r="Q42" s="17" t="s">
        <v>31</v>
      </c>
      <c r="R42" s="17" t="s">
        <v>131</v>
      </c>
      <c r="S42" s="17" t="s">
        <v>327</v>
      </c>
      <c r="T42" s="23">
        <v>301.95999999999998</v>
      </c>
      <c r="U42" s="16">
        <v>2</v>
      </c>
      <c r="V42" s="24">
        <v>0</v>
      </c>
      <c r="W42" s="25">
        <v>33.215600000000002</v>
      </c>
    </row>
    <row r="43" spans="1:23" ht="90">
      <c r="A43" s="16">
        <v>87</v>
      </c>
      <c r="B43" s="17" t="s">
        <v>328</v>
      </c>
      <c r="C43" s="18" t="str">
        <f t="shared" si="0"/>
        <v>Oct</v>
      </c>
      <c r="D43" s="16">
        <v>2014</v>
      </c>
      <c r="E43" s="19">
        <v>41569</v>
      </c>
      <c r="F43" s="19">
        <v>41660</v>
      </c>
      <c r="G43" s="17" t="s">
        <v>48</v>
      </c>
      <c r="H43" s="17" t="s">
        <v>329</v>
      </c>
      <c r="I43" s="17" t="s">
        <v>330</v>
      </c>
      <c r="J43" s="17" t="s">
        <v>25</v>
      </c>
      <c r="K43" s="17" t="s">
        <v>26</v>
      </c>
      <c r="L43" s="17" t="s">
        <v>331</v>
      </c>
      <c r="M43" s="17" t="s">
        <v>200</v>
      </c>
      <c r="N43" s="16">
        <v>55901</v>
      </c>
      <c r="O43" s="17" t="s">
        <v>87</v>
      </c>
      <c r="P43" s="17" t="s">
        <v>332</v>
      </c>
      <c r="Q43" s="17" t="s">
        <v>164</v>
      </c>
      <c r="R43" s="17" t="s">
        <v>202</v>
      </c>
      <c r="S43" s="17" t="s">
        <v>333</v>
      </c>
      <c r="T43" s="23">
        <v>19.989999999999998</v>
      </c>
      <c r="U43" s="16">
        <v>1</v>
      </c>
      <c r="V43" s="24">
        <v>0</v>
      </c>
      <c r="W43" s="25">
        <v>6.7965999999999998</v>
      </c>
    </row>
    <row r="44" spans="1:23" ht="60">
      <c r="A44" s="16">
        <v>89</v>
      </c>
      <c r="B44" s="17" t="s">
        <v>334</v>
      </c>
      <c r="C44" s="18" t="str">
        <f t="shared" si="0"/>
        <v>Oct</v>
      </c>
      <c r="D44" s="16">
        <v>2013</v>
      </c>
      <c r="E44" s="19">
        <v>41570</v>
      </c>
      <c r="F44" s="19">
        <v>41661</v>
      </c>
      <c r="G44" s="17" t="s">
        <v>22</v>
      </c>
      <c r="H44" s="17" t="s">
        <v>335</v>
      </c>
      <c r="I44" s="17" t="s">
        <v>336</v>
      </c>
      <c r="J44" s="17" t="s">
        <v>84</v>
      </c>
      <c r="K44" s="17" t="s">
        <v>26</v>
      </c>
      <c r="L44" s="17" t="s">
        <v>155</v>
      </c>
      <c r="M44" s="17" t="s">
        <v>86</v>
      </c>
      <c r="N44" s="16">
        <v>77095</v>
      </c>
      <c r="O44" s="17" t="s">
        <v>87</v>
      </c>
      <c r="P44" s="17" t="s">
        <v>337</v>
      </c>
      <c r="Q44" s="17" t="s">
        <v>43</v>
      </c>
      <c r="R44" s="17" t="s">
        <v>98</v>
      </c>
      <c r="S44" s="17" t="s">
        <v>338</v>
      </c>
      <c r="T44" s="23">
        <v>158.36799999999999</v>
      </c>
      <c r="U44" s="16">
        <v>7</v>
      </c>
      <c r="V44" s="24">
        <v>0.2</v>
      </c>
      <c r="W44" s="25">
        <v>13.857200000000001</v>
      </c>
    </row>
    <row r="45" spans="1:23" ht="60">
      <c r="A45" s="16">
        <v>90</v>
      </c>
      <c r="B45" s="17" t="s">
        <v>339</v>
      </c>
      <c r="C45" s="18" t="str">
        <f t="shared" si="0"/>
        <v>Oct</v>
      </c>
      <c r="D45" s="16">
        <v>2013</v>
      </c>
      <c r="E45" s="19">
        <v>41571</v>
      </c>
      <c r="F45" s="19">
        <v>41662</v>
      </c>
      <c r="G45" s="17" t="s">
        <v>48</v>
      </c>
      <c r="H45" s="17" t="s">
        <v>341</v>
      </c>
      <c r="I45" s="17" t="s">
        <v>342</v>
      </c>
      <c r="J45" s="17" t="s">
        <v>38</v>
      </c>
      <c r="K45" s="17" t="s">
        <v>26</v>
      </c>
      <c r="L45" s="17" t="s">
        <v>39</v>
      </c>
      <c r="M45" s="17" t="s">
        <v>40</v>
      </c>
      <c r="N45" s="16">
        <v>90036</v>
      </c>
      <c r="O45" s="17" t="s">
        <v>41</v>
      </c>
      <c r="P45" s="17" t="s">
        <v>343</v>
      </c>
      <c r="Q45" s="17" t="s">
        <v>43</v>
      </c>
      <c r="R45" s="17" t="s">
        <v>113</v>
      </c>
      <c r="S45" s="17" t="s">
        <v>344</v>
      </c>
      <c r="T45" s="23">
        <v>20.100000000000001</v>
      </c>
      <c r="U45" s="16">
        <v>3</v>
      </c>
      <c r="V45" s="24">
        <v>0</v>
      </c>
      <c r="W45" s="25">
        <v>6.633</v>
      </c>
    </row>
    <row r="46" spans="1:23" ht="30">
      <c r="A46" s="16">
        <v>93</v>
      </c>
      <c r="B46" s="17" t="s">
        <v>345</v>
      </c>
      <c r="C46" s="18" t="str">
        <f t="shared" si="0"/>
        <v>Oct</v>
      </c>
      <c r="D46" s="16">
        <v>2012</v>
      </c>
      <c r="E46" s="19">
        <v>41572</v>
      </c>
      <c r="F46" s="19">
        <v>41663</v>
      </c>
      <c r="G46" s="17" t="s">
        <v>22</v>
      </c>
      <c r="H46" s="17" t="s">
        <v>346</v>
      </c>
      <c r="I46" s="17" t="s">
        <v>347</v>
      </c>
      <c r="J46" s="17" t="s">
        <v>25</v>
      </c>
      <c r="K46" s="17" t="s">
        <v>26</v>
      </c>
      <c r="L46" s="17" t="s">
        <v>348</v>
      </c>
      <c r="M46" s="17" t="s">
        <v>200</v>
      </c>
      <c r="N46" s="16">
        <v>55407</v>
      </c>
      <c r="O46" s="17" t="s">
        <v>87</v>
      </c>
      <c r="P46" s="17" t="s">
        <v>349</v>
      </c>
      <c r="Q46" s="17" t="s">
        <v>43</v>
      </c>
      <c r="R46" s="17" t="s">
        <v>70</v>
      </c>
      <c r="S46" s="17" t="s">
        <v>350</v>
      </c>
      <c r="T46" s="23">
        <v>12.96</v>
      </c>
      <c r="U46" s="16">
        <v>2</v>
      </c>
      <c r="V46" s="24">
        <v>0</v>
      </c>
      <c r="W46" s="25">
        <v>6.2207999999999997</v>
      </c>
    </row>
    <row r="47" spans="1:23" ht="75">
      <c r="A47" s="16">
        <v>96</v>
      </c>
      <c r="B47" s="17" t="s">
        <v>351</v>
      </c>
      <c r="C47" s="18" t="str">
        <f t="shared" si="0"/>
        <v>Oct</v>
      </c>
      <c r="D47" s="16">
        <v>2014</v>
      </c>
      <c r="E47" s="19">
        <v>41573</v>
      </c>
      <c r="F47" s="19">
        <v>41664</v>
      </c>
      <c r="G47" s="17" t="s">
        <v>48</v>
      </c>
      <c r="H47" s="17" t="s">
        <v>353</v>
      </c>
      <c r="I47" s="17" t="s">
        <v>354</v>
      </c>
      <c r="J47" s="17" t="s">
        <v>84</v>
      </c>
      <c r="K47" s="17" t="s">
        <v>26</v>
      </c>
      <c r="L47" s="17" t="s">
        <v>355</v>
      </c>
      <c r="M47" s="17" t="s">
        <v>356</v>
      </c>
      <c r="N47" s="16">
        <v>97206</v>
      </c>
      <c r="O47" s="17" t="s">
        <v>41</v>
      </c>
      <c r="P47" s="17" t="s">
        <v>357</v>
      </c>
      <c r="Q47" s="17" t="s">
        <v>43</v>
      </c>
      <c r="R47" s="17" t="s">
        <v>78</v>
      </c>
      <c r="S47" s="17" t="s">
        <v>358</v>
      </c>
      <c r="T47" s="23">
        <v>5.6820000000000004</v>
      </c>
      <c r="U47" s="16">
        <v>1</v>
      </c>
      <c r="V47" s="24">
        <v>0.7</v>
      </c>
      <c r="W47" s="25">
        <v>-3.7879999999999998</v>
      </c>
    </row>
    <row r="48" spans="1:23" ht="60">
      <c r="A48" s="16">
        <v>97</v>
      </c>
      <c r="B48" s="17" t="s">
        <v>359</v>
      </c>
      <c r="C48" s="18" t="str">
        <f t="shared" si="0"/>
        <v>Oct</v>
      </c>
      <c r="D48" s="16">
        <v>2014</v>
      </c>
      <c r="E48" s="19">
        <v>41574</v>
      </c>
      <c r="F48" s="19">
        <v>41665</v>
      </c>
      <c r="G48" s="17" t="s">
        <v>22</v>
      </c>
      <c r="H48" s="17" t="s">
        <v>360</v>
      </c>
      <c r="I48" s="17" t="s">
        <v>361</v>
      </c>
      <c r="J48" s="17" t="s">
        <v>84</v>
      </c>
      <c r="K48" s="17" t="s">
        <v>26</v>
      </c>
      <c r="L48" s="17" t="s">
        <v>232</v>
      </c>
      <c r="M48" s="17" t="s">
        <v>233</v>
      </c>
      <c r="N48" s="16">
        <v>10009</v>
      </c>
      <c r="O48" s="17" t="s">
        <v>129</v>
      </c>
      <c r="P48" s="17" t="s">
        <v>362</v>
      </c>
      <c r="Q48" s="17" t="s">
        <v>31</v>
      </c>
      <c r="R48" s="17" t="s">
        <v>61</v>
      </c>
      <c r="S48" s="17" t="s">
        <v>363</v>
      </c>
      <c r="T48" s="23">
        <v>96.53</v>
      </c>
      <c r="U48" s="16">
        <v>7</v>
      </c>
      <c r="V48" s="24">
        <v>0</v>
      </c>
      <c r="W48" s="25">
        <v>40.5426</v>
      </c>
    </row>
    <row r="49" spans="1:23" ht="45">
      <c r="A49" s="16">
        <v>98</v>
      </c>
      <c r="B49" s="17" t="s">
        <v>364</v>
      </c>
      <c r="C49" s="18" t="str">
        <f t="shared" si="0"/>
        <v>Oct</v>
      </c>
      <c r="D49" s="16">
        <v>2014</v>
      </c>
      <c r="E49" s="19">
        <v>41575</v>
      </c>
      <c r="F49" s="19">
        <v>41666</v>
      </c>
      <c r="G49" s="17" t="s">
        <v>159</v>
      </c>
      <c r="H49" s="17" t="s">
        <v>366</v>
      </c>
      <c r="I49" s="17" t="s">
        <v>367</v>
      </c>
      <c r="J49" s="17" t="s">
        <v>25</v>
      </c>
      <c r="K49" s="17" t="s">
        <v>26</v>
      </c>
      <c r="L49" s="17" t="s">
        <v>111</v>
      </c>
      <c r="M49" s="17" t="s">
        <v>40</v>
      </c>
      <c r="N49" s="16">
        <v>94122</v>
      </c>
      <c r="O49" s="17" t="s">
        <v>41</v>
      </c>
      <c r="P49" s="17" t="s">
        <v>368</v>
      </c>
      <c r="Q49" s="17" t="s">
        <v>43</v>
      </c>
      <c r="R49" s="17" t="s">
        <v>78</v>
      </c>
      <c r="S49" s="17" t="s">
        <v>369</v>
      </c>
      <c r="T49" s="23">
        <v>51.311999999999998</v>
      </c>
      <c r="U49" s="16">
        <v>3</v>
      </c>
      <c r="V49" s="24">
        <v>0.2</v>
      </c>
      <c r="W49" s="25">
        <v>17.959199999999999</v>
      </c>
    </row>
  </sheetData>
  <autoFilter ref="A1:XFD49" xr:uid="{00000000-0009-0000-0000-000001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9"/>
  <sheetViews>
    <sheetView workbookViewId="0">
      <selection activeCell="A9" sqref="A9"/>
    </sheetView>
  </sheetViews>
  <sheetFormatPr defaultColWidth="9" defaultRowHeight="15"/>
  <sheetData>
    <row r="1" spans="1:1">
      <c r="A1" t="s">
        <v>382</v>
      </c>
    </row>
    <row r="3" spans="1:1">
      <c r="A3" t="s">
        <v>383</v>
      </c>
    </row>
    <row r="5" spans="1:1">
      <c r="A5" t="s">
        <v>384</v>
      </c>
    </row>
    <row r="7" spans="1:1">
      <c r="A7" t="s">
        <v>385</v>
      </c>
    </row>
    <row r="9" spans="1:1">
      <c r="A9" t="s">
        <v>386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52"/>
  <sheetViews>
    <sheetView tabSelected="1" topLeftCell="A2" workbookViewId="0">
      <selection activeCell="G11" sqref="G11"/>
    </sheetView>
  </sheetViews>
  <sheetFormatPr defaultColWidth="9" defaultRowHeight="15"/>
  <cols>
    <col min="1" max="1" width="12.5703125" bestFit="1" customWidth="1"/>
    <col min="2" max="2" width="13.42578125" bestFit="1" customWidth="1"/>
  </cols>
  <sheetData>
    <row r="1" spans="1:2" ht="18.75">
      <c r="A1" s="1" t="s">
        <v>372</v>
      </c>
      <c r="B1" s="2"/>
    </row>
    <row r="2" spans="1:2">
      <c r="A2" s="3"/>
      <c r="B2" s="3"/>
    </row>
    <row r="3" spans="1:2" ht="15.75">
      <c r="A3" s="37" t="s">
        <v>19</v>
      </c>
      <c r="B3" s="34" t="s">
        <v>373</v>
      </c>
    </row>
    <row r="4" spans="1:2" ht="15.75">
      <c r="A4" s="38" t="s">
        <v>43</v>
      </c>
      <c r="B4" s="35">
        <v>395.20799999999997</v>
      </c>
    </row>
    <row r="5" spans="1:2" ht="15.75">
      <c r="A5" s="38" t="s">
        <v>374</v>
      </c>
      <c r="B5" s="36">
        <v>395.20799999999997</v>
      </c>
    </row>
    <row r="8" spans="1:2">
      <c r="A8" s="3"/>
      <c r="B8" s="3"/>
    </row>
    <row r="9" spans="1:2">
      <c r="A9" s="3"/>
      <c r="B9" s="3"/>
    </row>
    <row r="10" spans="1:2">
      <c r="A10" s="3"/>
      <c r="B10" s="3"/>
    </row>
    <row r="11" spans="1:2" ht="18.75">
      <c r="A11" s="1" t="s">
        <v>375</v>
      </c>
      <c r="B11" s="2"/>
    </row>
    <row r="12" spans="1:2">
      <c r="A12" s="3"/>
      <c r="B12" s="3"/>
    </row>
    <row r="13" spans="1:2" ht="15.75">
      <c r="A13" s="37" t="s">
        <v>19</v>
      </c>
      <c r="B13" s="34" t="s">
        <v>376</v>
      </c>
    </row>
    <row r="14" spans="1:2" ht="15.75">
      <c r="A14" s="38" t="s">
        <v>43</v>
      </c>
      <c r="B14" s="35">
        <v>106.87160000000002</v>
      </c>
    </row>
    <row r="15" spans="1:2" ht="15.75">
      <c r="A15" s="38" t="s">
        <v>374</v>
      </c>
      <c r="B15" s="36">
        <v>106.87160000000002</v>
      </c>
    </row>
    <row r="18" spans="1:2">
      <c r="A18" s="3"/>
      <c r="B18" s="3"/>
    </row>
    <row r="19" spans="1:2">
      <c r="A19" s="3"/>
      <c r="B19" s="3"/>
    </row>
    <row r="20" spans="1:2">
      <c r="A20" s="3"/>
      <c r="B20" s="3"/>
    </row>
    <row r="21" spans="1:2" ht="18.75">
      <c r="A21" s="1" t="s">
        <v>377</v>
      </c>
      <c r="B21" s="2"/>
    </row>
    <row r="22" spans="1:2">
      <c r="A22" s="3"/>
      <c r="B22" s="3"/>
    </row>
    <row r="23" spans="1:2" ht="15.75">
      <c r="A23" s="37" t="s">
        <v>19</v>
      </c>
      <c r="B23" s="34" t="s">
        <v>373</v>
      </c>
    </row>
    <row r="24" spans="1:2" ht="15.75">
      <c r="A24" s="38" t="s">
        <v>29</v>
      </c>
      <c r="B24" s="35">
        <v>395.20799999999997</v>
      </c>
    </row>
    <row r="25" spans="1:2" ht="15.75">
      <c r="A25" s="38" t="s">
        <v>374</v>
      </c>
      <c r="B25" s="36">
        <v>395.20799999999997</v>
      </c>
    </row>
    <row r="29" spans="1:2">
      <c r="A29" s="3"/>
      <c r="B29" s="3"/>
    </row>
    <row r="30" spans="1:2">
      <c r="A30" s="3"/>
      <c r="B30" s="3"/>
    </row>
    <row r="31" spans="1:2">
      <c r="A31" s="3"/>
      <c r="B31" s="3"/>
    </row>
    <row r="32" spans="1:2" ht="18.75">
      <c r="A32" s="6" t="s">
        <v>378</v>
      </c>
      <c r="B32" s="2"/>
    </row>
    <row r="33" spans="1:2">
      <c r="A33" s="3"/>
      <c r="B33" s="3"/>
    </row>
    <row r="34" spans="1:2" ht="15.75">
      <c r="A34" s="29" t="s">
        <v>19</v>
      </c>
      <c r="B34" s="26" t="s">
        <v>373</v>
      </c>
    </row>
    <row r="35" spans="1:2" ht="15.75">
      <c r="A35" s="31" t="s">
        <v>379</v>
      </c>
      <c r="B35" s="27">
        <v>8201.2274999999991</v>
      </c>
    </row>
    <row r="36" spans="1:2" ht="15.75">
      <c r="A36" s="32" t="s">
        <v>380</v>
      </c>
      <c r="B36" s="30">
        <v>4274.067</v>
      </c>
    </row>
    <row r="37" spans="1:2" ht="15.75">
      <c r="A37" s="5" t="s">
        <v>374</v>
      </c>
      <c r="B37" s="28">
        <v>12475.2945</v>
      </c>
    </row>
    <row r="38" spans="1:2">
      <c r="A38" s="3"/>
      <c r="B38" s="3"/>
    </row>
    <row r="39" spans="1:2">
      <c r="A39" s="3"/>
      <c r="B39" s="3"/>
    </row>
    <row r="40" spans="1:2">
      <c r="A40" s="3"/>
      <c r="B40" s="3"/>
    </row>
    <row r="41" spans="1:2" ht="18.75">
      <c r="A41" s="1" t="s">
        <v>381</v>
      </c>
      <c r="B41" s="2"/>
    </row>
    <row r="42" spans="1:2">
      <c r="A42" s="3"/>
      <c r="B42" s="3"/>
    </row>
    <row r="43" spans="1:2" ht="15.75">
      <c r="A43" s="4" t="s">
        <v>19</v>
      </c>
      <c r="B43" s="4" t="s">
        <v>376</v>
      </c>
    </row>
    <row r="44" spans="1:2" ht="15.75">
      <c r="A44" s="5">
        <v>0</v>
      </c>
      <c r="B44" s="4">
        <v>651.88430000000005</v>
      </c>
    </row>
    <row r="45" spans="1:2" ht="15.75">
      <c r="A45" s="5">
        <v>0.2</v>
      </c>
      <c r="B45" s="4">
        <v>381.52249999999998</v>
      </c>
    </row>
    <row r="46" spans="1:2" ht="15.75">
      <c r="A46" s="5">
        <v>0.3</v>
      </c>
      <c r="B46" s="4">
        <v>-16.242100000000001</v>
      </c>
    </row>
    <row r="47" spans="1:2" ht="15.75">
      <c r="A47" s="5">
        <v>0.45</v>
      </c>
      <c r="B47" s="4">
        <v>-383.03100000000001</v>
      </c>
    </row>
    <row r="48" spans="1:2" ht="15.75">
      <c r="A48" s="5">
        <v>0.5</v>
      </c>
      <c r="B48" s="4">
        <v>-1665.0522000000001</v>
      </c>
    </row>
    <row r="49" spans="1:2" ht="15.75">
      <c r="A49" s="5">
        <v>0.6</v>
      </c>
      <c r="B49" s="4">
        <v>-14.475</v>
      </c>
    </row>
    <row r="50" spans="1:2" ht="15.75">
      <c r="A50" s="5">
        <v>0.7</v>
      </c>
      <c r="B50" s="4">
        <v>-3.7879999999999998</v>
      </c>
    </row>
    <row r="51" spans="1:2" ht="15.75">
      <c r="A51" s="5">
        <v>0.8</v>
      </c>
      <c r="B51" s="4">
        <v>-125.7924</v>
      </c>
    </row>
    <row r="52" spans="1:2" ht="15.75">
      <c r="A52" s="5" t="s">
        <v>374</v>
      </c>
      <c r="B52" s="4">
        <v>-1174.9739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0AB4D-1635-486F-8E9B-E0DBE54FF7F8}">
  <dimension ref="C2"/>
  <sheetViews>
    <sheetView zoomScale="64" zoomScaleNormal="64" workbookViewId="0">
      <selection activeCell="B17" sqref="B16:B17"/>
    </sheetView>
  </sheetViews>
  <sheetFormatPr defaultRowHeight="15"/>
  <sheetData>
    <row r="2" spans="3:3">
      <c r="C2" s="33"/>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Data</vt:lpstr>
      <vt:lpstr>Clean_Data</vt:lpstr>
      <vt:lpstr>Insights</vt:lpstr>
      <vt:lpstr>EDA</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shwetaghotekar1313@gmail.com</dc:creator>
  <cp:lastModifiedBy>shwetaghotekar1313@gmail.com</cp:lastModifiedBy>
  <dcterms:created xsi:type="dcterms:W3CDTF">2026-03-25T06:48:00Z</dcterms:created>
  <dcterms:modified xsi:type="dcterms:W3CDTF">2026-03-30T11:11:17Z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0B0CBF01E3EF495BBFF52D07E0EDFBDA_12</vt:lpwstr>
  </property>
  <property fmtid="{D5CDD505-2E9C-101B-9397-08002B2CF9AE}" pid="3" name="KSOProductBuildVer">
    <vt:lpwstr>2057-12.2.0.23196</vt:lpwstr>
  </property>
</Properties>
</file>