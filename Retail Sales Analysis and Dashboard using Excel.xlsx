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 activeTab="2"/>
  </bookViews>
  <sheets>
    <sheet name="Data" sheetId="2" r:id="rId1"/>
    <sheet name="Clean_Data" sheetId="1" r:id="rId2"/>
    <sheet name="EDA" sheetId="7" r:id="rId3"/>
    <sheet name="Insights" sheetId="5" r:id="rId4"/>
  </sheets>
  <definedNames>
    <definedName name="_xlnm._FilterDatabase" localSheetId="1" hidden="1">Clean_Data!$1:$49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<sst xmlns="http://schemas.openxmlformats.org/spreadsheetml/2006/main" count="1362" uniqueCount="388">
  <si>
    <t>Row ID</t>
  </si>
  <si>
    <t>Order ID</t>
  </si>
  <si>
    <t>Order Date</t>
  </si>
  <si>
    <t>Ship Date</t>
  </si>
  <si>
    <t>Ship Mode</t>
  </si>
  <si>
    <t>Customer ID</t>
  </si>
  <si>
    <t>Customer_Name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</si>
  <si>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</si>
  <si>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</si>
  <si>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</si>
  <si>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</si>
  <si>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</si>
  <si>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</si>
  <si>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</si>
  <si>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</si>
  <si>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</si>
  <si>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</si>
  <si>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</si>
  <si>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</si>
  <si>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</si>
  <si>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</si>
  <si>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</si>
  <si>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</si>
  <si>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</si>
  <si>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</si>
  <si>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</si>
  <si>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</si>
  <si>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</si>
  <si>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</si>
  <si>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</si>
  <si>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</si>
  <si>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</si>
  <si>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</si>
  <si>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</si>
  <si>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CA-2013-138688</t>
  </si>
  <si>
    <t>6/17/2013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</si>
  <si>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</si>
  <si>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</si>
  <si>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</si>
  <si>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</si>
  <si>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</si>
  <si>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</si>
  <si>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</si>
  <si>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</si>
  <si>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</si>
  <si>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</si>
  <si>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</si>
  <si>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10/18/2012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</si>
  <si>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</si>
  <si>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</si>
  <si>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</si>
  <si>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</si>
  <si>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</si>
  <si>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</si>
  <si>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</si>
  <si>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</si>
  <si>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CA-2011-115812</t>
  </si>
  <si>
    <t>6/14/2011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</si>
  <si>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</si>
  <si>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</si>
  <si>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</si>
  <si>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</si>
  <si>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</si>
  <si>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CA-2014-114412</t>
  </si>
  <si>
    <t>4/21/2014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</si>
  <si>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</si>
  <si>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</si>
  <si>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</si>
  <si>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</si>
  <si>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</si>
  <si>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</si>
  <si>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</si>
  <si>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</si>
  <si>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</si>
  <si>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</si>
  <si>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</si>
  <si>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</si>
  <si>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</si>
  <si>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</si>
  <si>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</si>
  <si>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US-2012-118983</t>
  </si>
  <si>
    <t>11/26/2012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</si>
  <si>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</si>
  <si>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</si>
  <si>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</si>
  <si>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</si>
  <si>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</si>
  <si>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</si>
  <si>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</si>
  <si>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</si>
  <si>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</si>
  <si>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CA-2011-105893</t>
  </si>
  <si>
    <t>11/18/2011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</si>
  <si>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</si>
  <si>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</si>
  <si>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</si>
  <si>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</si>
  <si>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</si>
  <si>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</si>
  <si>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</si>
  <si>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CA-2011-167164</t>
  </si>
  <si>
    <t>5/15/2011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</si>
  <si>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</si>
  <si>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</si>
  <si>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</si>
  <si>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</si>
  <si>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</si>
  <si>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</si>
  <si>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</si>
  <si>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</si>
  <si>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</si>
  <si>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</si>
  <si>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</si>
  <si>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Art</t>
  </si>
  <si>
    <t>Newell 341</t>
  </si>
  <si>
    <t>CA-2013-137330</t>
  </si>
  <si>
    <t>12/14/2013</t>
  </si>
  <si>
    <t>KB-16585</t>
  </si>
  <si>
    <t>Ken Black</t>
  </si>
  <si>
    <t>Fremont</t>
  </si>
  <si>
    <t>Nebraska</t>
  </si>
  <si>
    <t>OFF-AR-10000246</t>
  </si>
  <si>
    <t>Newell 318</t>
  </si>
  <si>
    <t>US-2014-156909</t>
  </si>
  <si>
    <t>7/19/2014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</si>
  <si>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</si>
  <si>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</si>
  <si>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</si>
  <si>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</si>
  <si>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</si>
  <si>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</si>
  <si>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</si>
  <si>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</si>
  <si>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CA-2012-106320</t>
  </si>
  <si>
    <t>9/30/2012</t>
  </si>
  <si>
    <t>EB-13870</t>
  </si>
  <si>
    <t>Emily Burns</t>
  </si>
  <si>
    <t>Orem</t>
  </si>
  <si>
    <t>OFF-BI-10001634</t>
  </si>
  <si>
    <t>CA-2013-121755</t>
  </si>
  <si>
    <t>1/20/2013</t>
  </si>
  <si>
    <t>EH-13945</t>
  </si>
  <si>
    <t>Eric Hoffmann</t>
  </si>
  <si>
    <t>FUR-BO-10004834</t>
  </si>
  <si>
    <t>Wilson Jones Active Use Binders</t>
  </si>
  <si>
    <t>US-2012-150630</t>
  </si>
  <si>
    <t>9/21/2012</t>
  </si>
  <si>
    <t>TB-21520</t>
  </si>
  <si>
    <t>Tracy Blumstein</t>
  </si>
  <si>
    <t>OFF-PA-10000249</t>
  </si>
  <si>
    <t>Riverside Palais Royal Lawyers Bookcase, Royale Cherry Finish</t>
  </si>
  <si>
    <t>CA-2014-107727</t>
  </si>
  <si>
    <t>10/24/2014</t>
  </si>
  <si>
    <t>MA-17560</t>
  </si>
  <si>
    <t>Matt Abelman</t>
  </si>
  <si>
    <t>Houston</t>
  </si>
  <si>
    <t>TEC-PH-10004977</t>
  </si>
  <si>
    <t>Staples</t>
  </si>
  <si>
    <t>CA-2013-117590</t>
  </si>
  <si>
    <t>First Class</t>
  </si>
  <si>
    <t>GH-14485</t>
  </si>
  <si>
    <t>Gene Hale</t>
  </si>
  <si>
    <t>Richardson</t>
  </si>
  <si>
    <t>OFF-EN-10002986</t>
  </si>
  <si>
    <t>Technology</t>
  </si>
  <si>
    <t>Phones</t>
  </si>
  <si>
    <t>GE 30524EE4</t>
  </si>
  <si>
    <t>CA-2012-117415</t>
  </si>
  <si>
    <t>12/31/2012</t>
  </si>
  <si>
    <t>SN-20710</t>
  </si>
  <si>
    <t>Steve Nguyen</t>
  </si>
  <si>
    <t>TEC-PH-10004093</t>
  </si>
  <si>
    <t>Envelopes</t>
  </si>
  <si>
    <t>#10-4 1/8" x 9 1/2" Premium Diagonal Seam Envelopes</t>
  </si>
  <si>
    <t>CA-2014-120999</t>
  </si>
  <si>
    <t>9/16/2014</t>
  </si>
  <si>
    <t>LC-16930</t>
  </si>
  <si>
    <t>Linda Cazamias</t>
  </si>
  <si>
    <t>Naperville</t>
  </si>
  <si>
    <t>Illinois</t>
  </si>
  <si>
    <t>OFF-ST-10003479</t>
  </si>
  <si>
    <t>Panasonic Kx-TS550</t>
  </si>
  <si>
    <t>CA-2013-101343</t>
  </si>
  <si>
    <t>7/23/2013</t>
  </si>
  <si>
    <t>RA-19885</t>
  </si>
  <si>
    <t>Ruben Ausman</t>
  </si>
  <si>
    <t>OFF-ST-10003282</t>
  </si>
  <si>
    <t>Eldon Base for stackable storage shelf, platinum</t>
  </si>
  <si>
    <t>CA-2014-139619</t>
  </si>
  <si>
    <t>9/24/2014</t>
  </si>
  <si>
    <t>ES-14080</t>
  </si>
  <si>
    <t>Erin Smith</t>
  </si>
  <si>
    <t>Melbourne</t>
  </si>
  <si>
    <t>TEC-AC-10000171</t>
  </si>
  <si>
    <t>Advantus 10-Drawer Portable Organizer, Chrome Metal Frame, Smoke Drawers</t>
  </si>
  <si>
    <t>CA-2013-118255</t>
  </si>
  <si>
    <t>3/14/2013</t>
  </si>
  <si>
    <t>ON-18715</t>
  </si>
  <si>
    <t>Odella Nelson</t>
  </si>
  <si>
    <t>Eagan</t>
  </si>
  <si>
    <t>Minnesota</t>
  </si>
  <si>
    <t>OFF-ST-10001713</t>
  </si>
  <si>
    <t>Accessories</t>
  </si>
  <si>
    <t>Verbatim 25 GB 6x Blu-ray Single Layer Recordable Disc, 25/Pack</t>
  </si>
  <si>
    <t>CA-2011-146703</t>
  </si>
  <si>
    <t>10/25/2011</t>
  </si>
  <si>
    <t>PO-18865</t>
  </si>
  <si>
    <t>Patrick O'Donnell</t>
  </si>
  <si>
    <t>Westland</t>
  </si>
  <si>
    <t>Michigan</t>
  </si>
  <si>
    <t>TEC-AC-10002167</t>
  </si>
  <si>
    <t>Gould Plastics 9-Pocket Panel Bin, 18-3/8w x 5-1/4d x 20-1/2h, Black</t>
  </si>
  <si>
    <t>CA-2013-169194</t>
  </si>
  <si>
    <t>6/26/2013</t>
  </si>
  <si>
    <t>LH-16900</t>
  </si>
  <si>
    <t>Lena Hernandez</t>
  </si>
  <si>
    <t>Dover</t>
  </si>
  <si>
    <t>Delaware</t>
  </si>
  <si>
    <t>OFF-BI-10004410</t>
  </si>
  <si>
    <t>Imation 8gb Micro Traveldrive Usb 2.0 Flash Drive</t>
  </si>
  <si>
    <t>CA-2012-115742</t>
  </si>
  <si>
    <t>4/22/2012</t>
  </si>
  <si>
    <t>DP-13000</t>
  </si>
  <si>
    <t>Darren Powers</t>
  </si>
  <si>
    <t>New Albany</t>
  </si>
  <si>
    <t>Indiana</t>
  </si>
  <si>
    <t>OFF-FA-10000304</t>
  </si>
  <si>
    <t>C-Line Peel &amp; Stick Add-On Filing Pockets, 8-3/4 x 5-1/8, 10/Pack</t>
  </si>
  <si>
    <t>CA-2013-105816</t>
  </si>
  <si>
    <t>12/18/2013</t>
  </si>
  <si>
    <t>JM-15265</t>
  </si>
  <si>
    <t>Janet Molinari</t>
  </si>
  <si>
    <t>New York City</t>
  </si>
  <si>
    <t>New York</t>
  </si>
  <si>
    <t>OFF-ST-10000604</t>
  </si>
  <si>
    <t>Fasteners</t>
  </si>
  <si>
    <t>Advantus Push Pins</t>
  </si>
  <si>
    <t>CA-2013-111682</t>
  </si>
  <si>
    <t>6/19/2013</t>
  </si>
  <si>
    <t>TB-21055</t>
  </si>
  <si>
    <t>Ted Butterfield</t>
  </si>
  <si>
    <t>Troy</t>
  </si>
  <si>
    <t>TEC-AC-10004633</t>
  </si>
  <si>
    <t>Home/Office Personal File Carts</t>
  </si>
  <si>
    <t>CA-2012-135545</t>
  </si>
  <si>
    <t>11/30/2012</t>
  </si>
  <si>
    <t>KM-16720</t>
  </si>
  <si>
    <t>Kunst Miller</t>
  </si>
  <si>
    <t>FUR-CH-10001146</t>
  </si>
  <si>
    <t>Verbatim 25 GB 6x Blu-ray Single Layer Recordable Disc, 3/Pack</t>
  </si>
  <si>
    <t>US-2012-164175</t>
  </si>
  <si>
    <t>PS-18970</t>
  </si>
  <si>
    <t>Paul Stevenson</t>
  </si>
  <si>
    <t>Chicago</t>
  </si>
  <si>
    <t>OFF-AR-10002671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</si>
  <si>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</si>
  <si>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</si>
  <si>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</si>
  <si>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</si>
  <si>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</si>
  <si>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</si>
  <si>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OFF-PA-10000482</t>
  </si>
  <si>
    <t>Hunt BOSTON Model 1606 High-Volume Electric Pencil Sharpener, Beige</t>
  </si>
  <si>
    <t>CA-2013-119823</t>
  </si>
  <si>
    <t>KD-16270</t>
  </si>
  <si>
    <t>Karen Daniels</t>
  </si>
  <si>
    <t>Springfield</t>
  </si>
  <si>
    <t>Virginia</t>
  </si>
  <si>
    <t>OFF-BI-10004654</t>
  </si>
  <si>
    <t>Snap-A-Way Black Print Carbonless Ruled Speed Letter, Triplicate</t>
  </si>
  <si>
    <t>CA-2013-106075</t>
  </si>
  <si>
    <t>9/24/2013</t>
  </si>
  <si>
    <t>HM-14980</t>
  </si>
  <si>
    <t>Henry Macallister</t>
  </si>
  <si>
    <t>OFF-PA-10004675</t>
  </si>
  <si>
    <t>Avery Binding System Hidden Tab Executive Style Index Sets</t>
  </si>
  <si>
    <t>CA-2014-114440</t>
  </si>
  <si>
    <t>9/18/2014</t>
  </si>
  <si>
    <t>Jackson</t>
  </si>
  <si>
    <t>FUR-CH-10000513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</si>
  <si>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</si>
  <si>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</si>
  <si>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</si>
  <si>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</si>
  <si>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</si>
  <si>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</si>
  <si>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OFF-BI-10004182</t>
  </si>
  <si>
    <t>High-Back Leather Manager's Chair</t>
  </si>
  <si>
    <t>US-2014-118038</t>
  </si>
  <si>
    <t>KB-16600</t>
  </si>
  <si>
    <t>Ken Brennan</t>
  </si>
  <si>
    <t>FUR-FU-10003194</t>
  </si>
  <si>
    <t>Economy Binders</t>
  </si>
  <si>
    <t>US-2011-147606</t>
  </si>
  <si>
    <t>OFF-AP-10002118</t>
  </si>
  <si>
    <t>Eldon Expressions Desk Accessory, Wood Pencil Holder, Oak</t>
  </si>
  <si>
    <t>CA-2013-127208</t>
  </si>
  <si>
    <t>6/16/2013</t>
  </si>
  <si>
    <t>SC-20770</t>
  </si>
  <si>
    <t>Stewart Carmichael</t>
  </si>
  <si>
    <t>Decatur</t>
  </si>
  <si>
    <t>Alabama</t>
  </si>
  <si>
    <t>OFF-AR-10002053</t>
  </si>
  <si>
    <t>1.7 Cubic Foot Compact "Cube" Office Refrigerators</t>
  </si>
  <si>
    <t>CA-2011-139451</t>
  </si>
  <si>
    <t>10/16/2011</t>
  </si>
  <si>
    <t>DN-13690</t>
  </si>
  <si>
    <t>Duane Noonan</t>
  </si>
  <si>
    <t>OFF-EN-10000927</t>
  </si>
  <si>
    <t>Premium Writing Pencils, Soft, #2 by Central Association for the Blind</t>
  </si>
  <si>
    <t>CA-2012-149734</t>
  </si>
  <si>
    <t>JC-16105</t>
  </si>
  <si>
    <t>Julie Creighton</t>
  </si>
  <si>
    <t>Durham</t>
  </si>
  <si>
    <t>OFF-ST-10003656</t>
  </si>
  <si>
    <t>Jet-Pak Recycled Peel 'N' Seal Padded Mailers</t>
  </si>
  <si>
    <t>US-2014-119662</t>
  </si>
  <si>
    <t>11/17/2014</t>
  </si>
  <si>
    <t>CS-12400</t>
  </si>
  <si>
    <t>Christopher Schild</t>
  </si>
  <si>
    <t>FUR-CH-10000863</t>
  </si>
  <si>
    <t>Safco Industrial Wire Shelving</t>
  </si>
  <si>
    <t>CA-2014-140088</t>
  </si>
  <si>
    <t>5/31/2014</t>
  </si>
  <si>
    <t>Columbia</t>
  </si>
  <si>
    <t>South Carolina</t>
  </si>
  <si>
    <t>TEC-AC-10001998</t>
  </si>
  <si>
    <t>Novimex Swivel Fabric Task Chair</t>
  </si>
  <si>
    <t>CA-2014-155558</t>
  </si>
  <si>
    <t>PG-18895</t>
  </si>
  <si>
    <t>Paul Gonzalez</t>
  </si>
  <si>
    <t>Rochester</t>
  </si>
  <si>
    <t>OFF-ST-10003442</t>
  </si>
  <si>
    <t>Logitech LS21 Speaker System - PC Multimedia - 2.1-CH - Wired</t>
  </si>
  <si>
    <t>CA-2013-159695</t>
  </si>
  <si>
    <t>GM-14455</t>
  </si>
  <si>
    <t>Gary Mitchum</t>
  </si>
  <si>
    <t>OFF-AR-10004930</t>
  </si>
  <si>
    <t>Eldon Portable Mobile Manager</t>
  </si>
  <si>
    <t>CA-2013-109806</t>
  </si>
  <si>
    <t>9/23/2013</t>
  </si>
  <si>
    <t>JS-15685</t>
  </si>
  <si>
    <t>Jim Sink</t>
  </si>
  <si>
    <t>OFF-PA-10003177</t>
  </si>
  <si>
    <t>Turquoise Lead Holder with Pocket Clip</t>
  </si>
  <si>
    <t>CA-2012-149587</t>
  </si>
  <si>
    <t>KB-16315</t>
  </si>
  <si>
    <t>Karl Braun</t>
  </si>
  <si>
    <t>Minneapolis</t>
  </si>
  <si>
    <t>OFF-BI-10004738</t>
  </si>
  <si>
    <t>Xerox 1999</t>
  </si>
  <si>
    <t>US-2014-109484</t>
  </si>
  <si>
    <t>11/13/2014</t>
  </si>
  <si>
    <t>RB-19705</t>
  </si>
  <si>
    <t>Roger Barcio</t>
  </si>
  <si>
    <t>Portland</t>
  </si>
  <si>
    <t>Oregon</t>
  </si>
  <si>
    <t>FUR-FU-10000629</t>
  </si>
  <si>
    <t>Flexible Leather- Look Classic Collection Ring Binder</t>
  </si>
  <si>
    <t>CA-2014-161018</t>
  </si>
  <si>
    <t>PN-18775</t>
  </si>
  <si>
    <t>Parhena Norris</t>
  </si>
  <si>
    <t>OFF-BI-10001721</t>
  </si>
  <si>
    <t>9-3/4 Diameter Round Wall Clock</t>
  </si>
  <si>
    <t>CA-2014-157833</t>
  </si>
  <si>
    <t>6/21/2014</t>
  </si>
  <si>
    <t>KD-16345</t>
  </si>
  <si>
    <t>Katherine Ducich</t>
  </si>
  <si>
    <t>OFF-AP-10000358</t>
  </si>
  <si>
    <t>Trimflex Flexible Post Binders</t>
  </si>
  <si>
    <t>Month</t>
  </si>
  <si>
    <t>Year</t>
  </si>
  <si>
    <t xml:space="preserve">1) Sales by category </t>
  </si>
  <si>
    <t>Row Labels</t>
  </si>
  <si>
    <t>Sum of Sales</t>
  </si>
  <si>
    <t>Grand Total</t>
  </si>
  <si>
    <t xml:space="preserve">2) Profit  by  Category </t>
  </si>
  <si>
    <t>Sum of Profit</t>
  </si>
  <si>
    <t>3) Sales By Region</t>
  </si>
  <si>
    <t>4) Sales  By  Month</t>
  </si>
  <si>
    <t>Sep</t>
  </si>
  <si>
    <t>Oct</t>
  </si>
  <si>
    <t xml:space="preserve">5) Discount VS  Profit </t>
  </si>
  <si>
    <t>1)  Furniture category has the highest total sales.</t>
  </si>
  <si>
    <t>2)Office Supplies category generates the highest profit, while Furniture category is loss-making. Although Furniture has the highest sales, it is generating losses, which indicates poor profitability.Although Furniture has the highest sales, it is generating losses, which indicates poor profitability.</t>
  </si>
  <si>
    <t>3) East region contributes the highest sales among all regions.</t>
  </si>
  <si>
    <t>4) Sales peak in September, indicating higher performance during this month.</t>
  </si>
  <si>
    <t>5) I analyzed the relationship between discount and profit and found that higher discounts reduce overall profitability.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</si>
</sst>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&quot;₹&quot;\ #,##0.00"/>
    <numFmt numFmtId="182" formatCode="_ &quot;₹&quot;\ * #,##0.00_ ;_ &quot;₹&quot;\ * \-#,##0.00_ ;_ &quot;₹&quot;\ * &quot;-&quot;??_ ;_ @_ "/>
  </numFmts>
  <fonts count="25">
    <font>
      <sz val="11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indexed="8"/>
      <name val="Calibri"/>
      <charset val="134"/>
    </font>
    <font>
      <sz val="12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3" fillId="0" borderId="0" xfId="0" applyFont="1"/>
    <xf numFmtId="2" fontId="3" fillId="0" borderId="0" xfId="0" applyNumberFormat="1" applyFont="1"/>
    <xf numFmtId="0" fontId="3" fillId="0" borderId="0" xfId="0" applyNumberFormat="1" applyFont="1"/>
    <xf numFmtId="180" fontId="3" fillId="0" borderId="0" xfId="0" applyNumberFormat="1" applyFont="1"/>
    <xf numFmtId="181" fontId="3" fillId="0" borderId="0" xfId="0" applyNumberFormat="1" applyFont="1"/>
    <xf numFmtId="10" fontId="3" fillId="0" borderId="0" xfId="0" applyNumberFormat="1" applyFont="1"/>
    <xf numFmtId="182" fontId="3" fillId="0" borderId="0" xfId="0" applyNumberFormat="1" applyFont="1"/>
    <xf numFmtId="0" fontId="4" fillId="3" borderId="2" xfId="0" applyFont="1" applyFill="1" applyBorder="1" applyAlignment="1">
      <alignment wrapText="1"/>
    </xf>
    <xf numFmtId="2" fontId="4" fillId="3" borderId="2" xfId="0" applyNumberFormat="1" applyFont="1" applyFill="1" applyBorder="1" applyAlignment="1">
      <alignment wrapText="1"/>
    </xf>
    <xf numFmtId="0" fontId="4" fillId="3" borderId="2" xfId="0" applyNumberFormat="1" applyFont="1" applyFill="1" applyBorder="1" applyAlignment="1">
      <alignment wrapText="1"/>
    </xf>
    <xf numFmtId="180" fontId="4" fillId="3" borderId="2" xfId="0" applyNumberFormat="1" applyFont="1" applyFill="1" applyBorder="1" applyAlignment="1">
      <alignment wrapText="1"/>
    </xf>
    <xf numFmtId="0" fontId="3" fillId="4" borderId="2" xfId="0" applyFont="1" applyFill="1" applyBorder="1" applyAlignment="1">
      <alignment horizontal="right" wrapText="1"/>
    </xf>
    <xf numFmtId="0" fontId="3" fillId="4" borderId="2" xfId="0" applyFont="1" applyFill="1" applyBorder="1" applyAlignment="1">
      <alignment wrapText="1"/>
    </xf>
    <xf numFmtId="2" fontId="3" fillId="4" borderId="2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horizontal="right" wrapText="1"/>
    </xf>
    <xf numFmtId="180" fontId="3" fillId="4" borderId="2" xfId="0" applyNumberFormat="1" applyFont="1" applyFill="1" applyBorder="1" applyAlignment="1">
      <alignment horizontal="right" wrapText="1"/>
    </xf>
    <xf numFmtId="181" fontId="4" fillId="3" borderId="2" xfId="0" applyNumberFormat="1" applyFont="1" applyFill="1" applyBorder="1" applyAlignment="1">
      <alignment wrapText="1"/>
    </xf>
    <xf numFmtId="10" fontId="4" fillId="3" borderId="2" xfId="0" applyNumberFormat="1" applyFont="1" applyFill="1" applyBorder="1" applyAlignment="1">
      <alignment wrapText="1"/>
    </xf>
    <xf numFmtId="182" fontId="4" fillId="3" borderId="2" xfId="0" applyNumberFormat="1" applyFont="1" applyFill="1" applyBorder="1" applyAlignment="1">
      <alignment wrapText="1"/>
    </xf>
    <xf numFmtId="181" fontId="3" fillId="4" borderId="2" xfId="0" applyNumberFormat="1" applyFont="1" applyFill="1" applyBorder="1" applyAlignment="1">
      <alignment horizontal="right" wrapText="1"/>
    </xf>
    <xf numFmtId="10" fontId="3" fillId="4" borderId="2" xfId="0" applyNumberFormat="1" applyFont="1" applyFill="1" applyBorder="1" applyAlignment="1">
      <alignment horizontal="right" wrapText="1"/>
    </xf>
    <xf numFmtId="182" fontId="3" fillId="4" borderId="2" xfId="0" applyNumberFormat="1" applyFont="1" applyFill="1" applyBorder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1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wrapTex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06.5888959491" refreshedBy="PC World" recordCount="49">
  <cacheSource type="worksheet">
    <worksheetSource ref="A1:W1048576" sheet="Clean_Data"/>
  </cacheSource>
  <cacheFields count="23">
    <cacheField name="Row ID" numFmtId="0"/>
    <cacheField name="Order ID" numFmtId="0"/>
    <cacheField name="Month" numFmtId="2">
      <sharedItems containsBlank="1" count="3">
        <s v="Sep"/>
        <s v="Oct"/>
        <m/>
      </sharedItems>
    </cacheField>
    <cacheField name="Year" numFmtId="0"/>
    <cacheField name="Order Date" numFmtId="180"/>
    <cacheField name="Ship Date" numFmtId="180"/>
    <cacheField name="Ship Mode" numFmtId="0"/>
    <cacheField name="Customer ID" numFmtId="0"/>
    <cacheField name="Customer_Name" numFmtId="0"/>
    <cacheField name="Segment" numFmtId="0"/>
    <cacheField name="Country" numFmtId="0"/>
    <cacheField name="City" numFmtId="0"/>
    <cacheField name="State" numFmtId="0"/>
    <cacheField name="Postal Code" numFmtId="0"/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/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/>
    <cacheField name="Product Name" numFmtId="0"/>
    <cacheField name="Sales" numFmtId="181">
      <sharedItems containsString="0" containsBlank="1" containsNumber="1" minValue="0" maxValue="3083.43" count="49">
        <n v="261.96"/>
        <n v="14.62"/>
        <n v="957.5775"/>
        <n v="48.86"/>
        <n v="15.552"/>
        <n v="407.976"/>
        <n v="68.81"/>
        <n v="665.88"/>
        <n v="55.5"/>
        <n v="8.56"/>
        <n v="19.46"/>
        <n v="71.372"/>
        <n v="1044.63"/>
        <n v="11.648"/>
        <n v="3083.43"/>
        <n v="29.472"/>
        <n v="1097.544"/>
        <n v="113.328"/>
        <n v="147.168"/>
        <n v="77.88"/>
        <n v="95.616"/>
        <n v="45.98"/>
        <n v="211.96"/>
        <n v="45"/>
        <n v="38.22"/>
        <n v="15.26"/>
        <n v="208.56"/>
        <n v="13.98"/>
        <n v="213.115"/>
        <n v="1113.024"/>
        <n v="75.88"/>
        <n v="4.616"/>
        <n v="19.05"/>
        <n v="831.936"/>
        <n v="1.248"/>
        <n v="19.3"/>
        <n v="208.16"/>
        <n v="14.9"/>
        <n v="200.984"/>
        <n v="230.376"/>
        <n v="301.96"/>
        <n v="19.99"/>
        <n v="158.368"/>
        <n v="20.1"/>
        <n v="12.96"/>
        <n v="5.682"/>
        <n v="96.53"/>
        <n v="51.312"/>
        <m/>
      </sharedItems>
    </cacheField>
    <cacheField name="Quantity" numFmtId="0"/>
    <cacheField name="Discount" numFmtId="10">
      <sharedItems containsString="0" containsBlank="1" containsNumber="1" minValue="0" maxValue="0.8" count="9">
        <n v="0"/>
        <n v="0.45"/>
        <n v="0.2"/>
        <n v="0.8"/>
        <n v="0.3"/>
        <n v="0.5"/>
        <n v="0.6"/>
        <n v="0.7"/>
        <m/>
      </sharedItems>
    </cacheField>
    <cacheField name="Profit" numFmtId="182">
      <sharedItems containsString="0" containsBlank="1" containsNumber="1" minValue="-1665.0522" maxValue="240.2649" count="49">
        <n v="41.9136"/>
        <n v="6.8714"/>
        <n v="-383.031"/>
        <n v="14.1694"/>
        <n v="5.4432"/>
        <n v="132.5922"/>
        <n v="-123.858"/>
        <n v="13.3176"/>
        <n v="9.99"/>
        <n v="2.4824"/>
        <n v="5.0596"/>
        <n v="-1.0196"/>
        <n v="240.2649"/>
        <n v="4.2224"/>
        <n v="-1665.0522"/>
        <n v="9.9468"/>
        <n v="123.4737"/>
        <n v="35.415"/>
        <n v="16.5564"/>
        <n v="3.894"/>
        <n v="9.5616"/>
        <n v="19.7714"/>
        <n v="8.4784"/>
        <n v="4.95"/>
        <n v="17.9634"/>
        <n v="6.2566"/>
        <n v="52.14"/>
        <n v="6.1512"/>
        <n v="-15.2225"/>
        <n v="111.3024"/>
        <n v="35.6636"/>
        <n v="1.731"/>
        <n v="8.763"/>
        <n v="-114.3912"/>
        <n v="-1.9344"/>
        <n v="-14.475"/>
        <n v="56.2032"/>
        <n v="4.172"/>
        <n v="62.8075"/>
        <n v="-48.9549"/>
        <n v="33.2156"/>
        <n v="6.7966"/>
        <n v="13.8572"/>
        <n v="6.633"/>
        <n v="6.2208"/>
        <n v="-3.788"/>
        <n v="40.5426"/>
        <n v="17.9592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1"/>
    <s v="CA-2013-152156"/>
    <x v="0"/>
    <n v="2013"/>
    <d v="2013-09-11T00:00:00"/>
    <d v="2013-12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x v="0"/>
    <n v="2"/>
    <x v="0"/>
    <x v="0"/>
  </r>
  <r>
    <n v="3"/>
    <s v="CA-2013-138688"/>
    <x v="0"/>
    <n v="2013"/>
    <d v="2013-09-12T00:00:00"/>
    <d v="2013-12-12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x v="1"/>
    <n v="2"/>
    <x v="0"/>
    <x v="1"/>
  </r>
  <r>
    <n v="4"/>
    <s v="US-2012-108966"/>
    <x v="0"/>
    <n v="2012"/>
    <d v="2013-09-13T00:00:00"/>
    <d v="2013-12-13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x v="2"/>
    <n v="5"/>
    <x v="1"/>
    <x v="2"/>
  </r>
  <r>
    <n v="6"/>
    <s v="CA-2011-115812"/>
    <x v="0"/>
    <n v="2011"/>
    <d v="2013-09-14T00:00:00"/>
    <d v="2013-12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x v="3"/>
    <n v="7"/>
    <x v="0"/>
    <x v="3"/>
  </r>
  <r>
    <n v="13"/>
    <s v="CA-2014-114412"/>
    <x v="0"/>
    <n v="2014"/>
    <d v="2013-09-15T00:00:00"/>
    <d v="2013-12-15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x v="4"/>
    <n v="3"/>
    <x v="2"/>
    <x v="4"/>
  </r>
  <r>
    <n v="14"/>
    <s v="CA-2013-161389"/>
    <x v="0"/>
    <n v="2013"/>
    <d v="2013-09-16T00:00:00"/>
    <d v="2013-12-16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x v="5"/>
    <n v="3"/>
    <x v="2"/>
    <x v="5"/>
  </r>
  <r>
    <n v="15"/>
    <s v="US-2012-118983"/>
    <x v="0"/>
    <n v="2012"/>
    <d v="2013-09-17T00:00:00"/>
    <d v="2013-12-17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x v="6"/>
    <n v="5"/>
    <x v="3"/>
    <x v="6"/>
  </r>
  <r>
    <n v="17"/>
    <s v="CA-2011-105893"/>
    <x v="0"/>
    <n v="2011"/>
    <d v="2013-09-18T00:00:00"/>
    <d v="2013-12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x v="7"/>
    <n v="6"/>
    <x v="0"/>
    <x v="7"/>
  </r>
  <r>
    <n v="18"/>
    <s v="CA-2011-167164"/>
    <x v="0"/>
    <n v="2011"/>
    <d v="2013-09-19T00:00:00"/>
    <d v="2013-12-19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x v="8"/>
    <n v="2"/>
    <x v="0"/>
    <x v="8"/>
  </r>
  <r>
    <n v="19"/>
    <s v="CA-2011-143336"/>
    <x v="0"/>
    <n v="2011"/>
    <d v="2013-09-20T00:00:00"/>
    <d v="2013-12-20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x v="9"/>
    <n v="2"/>
    <x v="0"/>
    <x v="9"/>
  </r>
  <r>
    <n v="22"/>
    <s v="CA-2013-137330"/>
    <x v="0"/>
    <n v="2013"/>
    <d v="2013-09-21T00:00:00"/>
    <d v="2013-12-21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x v="10"/>
    <n v="7"/>
    <x v="0"/>
    <x v="10"/>
  </r>
  <r>
    <n v="24"/>
    <s v="US-2014-156909"/>
    <x v="0"/>
    <n v="2014"/>
    <d v="2013-09-22T00:00:00"/>
    <d v="2013-12-22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x v="11"/>
    <n v="2"/>
    <x v="4"/>
    <x v="11"/>
  </r>
  <r>
    <n v="25"/>
    <s v="CA-2012-106320"/>
    <x v="0"/>
    <n v="2012"/>
    <d v="2013-09-23T00:00:00"/>
    <d v="2013-12-23T00:00:00"/>
    <s v="Standard Class"/>
    <s v="EB-13870"/>
    <s v="Emily Burns"/>
    <s v="Consumer"/>
    <s v="United States"/>
    <s v="Orem"/>
    <s v="Utah"/>
    <n v="84057"/>
    <x v="1"/>
    <s v="OFF-BI-10001634"/>
    <x v="0"/>
    <s v="Tables"/>
    <s v="Bretford CR4500 Series Slim Rectangular Table"/>
    <x v="12"/>
    <n v="3"/>
    <x v="0"/>
    <x v="12"/>
  </r>
  <r>
    <n v="26"/>
    <s v="CA-2013-121755"/>
    <x v="0"/>
    <n v="2013"/>
    <d v="2013-09-24T00:00:00"/>
    <d v="2013-12-24T00:00:00"/>
    <s v="Second Class"/>
    <s v="EH-13945"/>
    <s v="Eric Hoffmann"/>
    <s v="Consumer"/>
    <s v="United States"/>
    <s v="Los Angeles"/>
    <s v="California"/>
    <n v="90049"/>
    <x v="1"/>
    <s v="FUR-BO-10004834"/>
    <x v="1"/>
    <s v="Binders"/>
    <s v="Wilson Jones Active Use Binders"/>
    <x v="13"/>
    <n v="2"/>
    <x v="2"/>
    <x v="13"/>
  </r>
  <r>
    <n v="28"/>
    <s v="US-2012-150630"/>
    <x v="0"/>
    <n v="2012"/>
    <d v="2013-09-25T00:00:00"/>
    <d v="2013-12-25T00:00:00"/>
    <s v="Standard Class"/>
    <s v="TB-21520"/>
    <s v="Tracy Blumstein"/>
    <s v="Consumer"/>
    <s v="United States"/>
    <s v="Philadelphia"/>
    <s v="Pennsylvania"/>
    <n v="19140"/>
    <x v="3"/>
    <s v="OFF-PA-10000249"/>
    <x v="0"/>
    <s v="Bookcases"/>
    <s v="Riverside Palais Royal Lawyers Bookcase, Royale Cherry Finish"/>
    <x v="14"/>
    <n v="7"/>
    <x v="5"/>
    <x v="14"/>
  </r>
  <r>
    <n v="35"/>
    <s v="CA-2014-107727"/>
    <x v="0"/>
    <n v="2014"/>
    <d v="2013-09-26T00:00:00"/>
    <d v="2013-12-26T00:00:00"/>
    <s v="Second Class"/>
    <s v="MA-17560"/>
    <s v="Matt Abelman"/>
    <s v="Home Office"/>
    <s v="United States"/>
    <s v="Houston"/>
    <s v="Texas"/>
    <n v="77095"/>
    <x v="2"/>
    <s v="TEC-PH-10004977"/>
    <x v="1"/>
    <s v="Paper"/>
    <s v="Staples"/>
    <x v="15"/>
    <n v="3"/>
    <x v="2"/>
    <x v="15"/>
  </r>
  <r>
    <n v="36"/>
    <s v="CA-2013-117590"/>
    <x v="0"/>
    <n v="2013"/>
    <d v="2013-09-27T00:00:00"/>
    <d v="2013-12-27T00:00:00"/>
    <s v="First Class"/>
    <s v="GH-14485"/>
    <s v="Gene Hale"/>
    <s v="Corporate"/>
    <s v="United States"/>
    <s v="Richardson"/>
    <s v="Texas"/>
    <n v="75080"/>
    <x v="2"/>
    <s v="OFF-EN-10002986"/>
    <x v="2"/>
    <s v="Phones"/>
    <s v="GE 30524EE4"/>
    <x v="16"/>
    <n v="7"/>
    <x v="2"/>
    <x v="16"/>
  </r>
  <r>
    <n v="38"/>
    <s v="CA-2012-117415"/>
    <x v="0"/>
    <n v="2012"/>
    <d v="2013-09-28T00:00:00"/>
    <d v="2013-12-28T00:00:00"/>
    <s v="Standard Class"/>
    <s v="SN-20710"/>
    <s v="Steve Nguyen"/>
    <s v="Home Office"/>
    <s v="United States"/>
    <s v="Houston"/>
    <s v="Texas"/>
    <n v="77041"/>
    <x v="2"/>
    <s v="TEC-PH-10004093"/>
    <x v="1"/>
    <s v="Envelopes"/>
    <s v="#10-4 1/8&quot; x 9 1/2&quot; Premium Diagonal Seam Envelopes"/>
    <x v="17"/>
    <n v="9"/>
    <x v="2"/>
    <x v="17"/>
  </r>
  <r>
    <n v="42"/>
    <s v="CA-2014-120999"/>
    <x v="0"/>
    <n v="2014"/>
    <d v="2013-09-29T00:00:00"/>
    <d v="2013-12-29T00:00:00"/>
    <s v="Standard Class"/>
    <s v="LC-16930"/>
    <s v="Linda Cazamias"/>
    <s v="Corporate"/>
    <s v="United States"/>
    <s v="Naperville"/>
    <s v="Illinois"/>
    <n v="60540"/>
    <x v="2"/>
    <s v="OFF-ST-10003479"/>
    <x v="2"/>
    <s v="Phones"/>
    <s v="Panasonic Kx-TS550"/>
    <x v="18"/>
    <n v="4"/>
    <x v="2"/>
    <x v="18"/>
  </r>
  <r>
    <n v="43"/>
    <s v="CA-2013-101343"/>
    <x v="0"/>
    <n v="2013"/>
    <d v="2013-09-30T00:00:00"/>
    <d v="2013-12-30T00:00:00"/>
    <s v="Standard Class"/>
    <s v="RA-19885"/>
    <s v="Ruben Ausman"/>
    <s v="Corporate"/>
    <s v="United States"/>
    <s v="Los Angeles"/>
    <s v="California"/>
    <n v="90049"/>
    <x v="1"/>
    <s v="OFF-ST-10003282"/>
    <x v="1"/>
    <s v="Storage"/>
    <s v="Eldon Base for stackable storage shelf, platinum"/>
    <x v="19"/>
    <n v="2"/>
    <x v="0"/>
    <x v="19"/>
  </r>
  <r>
    <n v="44"/>
    <s v="CA-2014-139619"/>
    <x v="1"/>
    <n v="2014"/>
    <d v="2013-10-01T00:00:00"/>
    <d v="2013-12-31T00:00:00"/>
    <s v="Standard Class"/>
    <s v="ES-14080"/>
    <s v="Erin Smith"/>
    <s v="Corporate"/>
    <s v="United States"/>
    <s v="Melbourne"/>
    <s v="Florida"/>
    <n v="32935"/>
    <x v="0"/>
    <s v="TEC-AC-10000171"/>
    <x v="1"/>
    <s v="Storage"/>
    <s v="Advantus 10-Drawer Portable Organizer, Chrome Metal Frame, Smoke Drawers"/>
    <x v="20"/>
    <n v="2"/>
    <x v="2"/>
    <x v="20"/>
  </r>
  <r>
    <n v="45"/>
    <s v="CA-2013-118255"/>
    <x v="1"/>
    <n v="2013"/>
    <d v="2013-10-02T00:00:00"/>
    <d v="2014-01-01T00:00:00"/>
    <s v="First Class"/>
    <s v="ON-18715"/>
    <s v="Odella Nelson"/>
    <s v="Corporate"/>
    <s v="United States"/>
    <s v="Eagan"/>
    <s v="Minnesota"/>
    <n v="55122"/>
    <x v="2"/>
    <s v="OFF-ST-10001713"/>
    <x v="2"/>
    <s v="Accessories"/>
    <s v="Verbatim 25 GB 6x Blu-ray Single Layer Recordable Disc, 25/Pack"/>
    <x v="21"/>
    <n v="2"/>
    <x v="0"/>
    <x v="21"/>
  </r>
  <r>
    <n v="47"/>
    <s v="CA-2011-146703"/>
    <x v="1"/>
    <n v="2011"/>
    <d v="2013-10-03T00:00:00"/>
    <d v="2014-01-02T00:00:00"/>
    <s v="Second Class"/>
    <s v="PO-18865"/>
    <s v="Patrick O'Donnell"/>
    <s v="Consumer"/>
    <s v="United States"/>
    <s v="Westland"/>
    <s v="Michigan"/>
    <n v="48185"/>
    <x v="2"/>
    <s v="TEC-AC-10002167"/>
    <x v="1"/>
    <s v="Storage"/>
    <s v="Gould Plastics 9-Pocket Panel Bin, 18-3/8w x 5-1/4d x 20-1/2h, Black"/>
    <x v="22"/>
    <n v="4"/>
    <x v="0"/>
    <x v="22"/>
  </r>
  <r>
    <n v="48"/>
    <s v="CA-2013-169194"/>
    <x v="1"/>
    <n v="2013"/>
    <d v="2013-10-04T00:00:00"/>
    <d v="2014-01-03T00:00:00"/>
    <s v="Standard Class"/>
    <s v="LH-16900"/>
    <s v="Lena Hernandez"/>
    <s v="Consumer"/>
    <s v="United States"/>
    <s v="Dover"/>
    <s v="Delaware"/>
    <n v="19901"/>
    <x v="3"/>
    <s v="OFF-BI-10004410"/>
    <x v="2"/>
    <s v="Accessories"/>
    <s v="Imation 8gb Micro Traveldrive Usb 2.0 Flash Drive"/>
    <x v="23"/>
    <n v="3"/>
    <x v="0"/>
    <x v="23"/>
  </r>
  <r>
    <n v="50"/>
    <s v="CA-2012-115742"/>
    <x v="1"/>
    <n v="2012"/>
    <d v="2013-10-05T00:00:00"/>
    <d v="2014-01-04T00:00:00"/>
    <s v="Standard Class"/>
    <s v="DP-13000"/>
    <s v="Darren Powers"/>
    <s v="Consumer"/>
    <s v="United States"/>
    <s v="New Albany"/>
    <s v="Indiana"/>
    <n v="47150"/>
    <x v="2"/>
    <s v="OFF-FA-10000304"/>
    <x v="1"/>
    <s v="Binders"/>
    <s v="C-Line Peel &amp; Stick Add-On Filing Pockets, 8-3/4 x 5-1/8, 10/Pack"/>
    <x v="24"/>
    <n v="6"/>
    <x v="0"/>
    <x v="24"/>
  </r>
  <r>
    <n v="54"/>
    <s v="CA-2013-105816"/>
    <x v="1"/>
    <n v="2013"/>
    <d v="2013-10-06T00:00:00"/>
    <d v="2014-01-05T00:00:00"/>
    <s v="Standard Class"/>
    <s v="JM-15265"/>
    <s v="Janet Molinari"/>
    <s v="Corporate"/>
    <s v="United States"/>
    <s v="New York City"/>
    <s v="New York"/>
    <n v="10024"/>
    <x v="3"/>
    <s v="OFF-ST-10000604"/>
    <x v="1"/>
    <s v="Fasteners"/>
    <s v="Advantus Push Pins"/>
    <x v="25"/>
    <n v="7"/>
    <x v="0"/>
    <x v="25"/>
  </r>
  <r>
    <n v="56"/>
    <s v="CA-2013-111682"/>
    <x v="1"/>
    <n v="2013"/>
    <d v="2013-10-07T00:00:00"/>
    <d v="2014-01-06T00:00:00"/>
    <s v="First Class"/>
    <s v="TB-21055"/>
    <s v="Ted Butterfield"/>
    <s v="Consumer"/>
    <s v="United States"/>
    <s v="Troy"/>
    <s v="New York"/>
    <n v="12180"/>
    <x v="3"/>
    <s v="TEC-AC-10004633"/>
    <x v="1"/>
    <s v="Storage"/>
    <s v="Home/Office Personal File Carts"/>
    <x v="26"/>
    <n v="6"/>
    <x v="0"/>
    <x v="26"/>
  </r>
  <r>
    <n v="63"/>
    <s v="CA-2012-135545"/>
    <x v="1"/>
    <n v="2012"/>
    <d v="2013-10-08T00:00:00"/>
    <d v="2014-01-07T00:00:00"/>
    <s v="Standard Class"/>
    <s v="KM-16720"/>
    <s v="Kunst Miller"/>
    <s v="Consumer"/>
    <s v="United States"/>
    <s v="Los Angeles"/>
    <s v="California"/>
    <n v="90004"/>
    <x v="1"/>
    <s v="FUR-CH-10001146"/>
    <x v="2"/>
    <s v="Accessories"/>
    <s v="Verbatim 25 GB 6x Blu-ray Single Layer Recordable Disc, 3/Pack"/>
    <x v="27"/>
    <n v="2"/>
    <x v="0"/>
    <x v="27"/>
  </r>
  <r>
    <n v="67"/>
    <s v="US-2012-164175"/>
    <x v="1"/>
    <n v="2012"/>
    <d v="2013-10-09T00:00:00"/>
    <d v="2014-01-08T00:00:00"/>
    <s v="Standard Class"/>
    <s v="PS-18970"/>
    <s v="Paul Stevenson"/>
    <s v="Home Office"/>
    <s v="United States"/>
    <s v="Chicago"/>
    <s v="Illinois"/>
    <n v="60610"/>
    <x v="2"/>
    <s v="OFF-AR-10002671"/>
    <x v="0"/>
    <s v="Chairs"/>
    <s v="Global Value Mid-Back Manager's Chair, Gray"/>
    <x v="28"/>
    <n v="5"/>
    <x v="4"/>
    <x v="28"/>
  </r>
  <r>
    <n v="68"/>
    <s v="CA-2011-106376"/>
    <x v="1"/>
    <n v="2011"/>
    <d v="2013-10-10T00:00:00"/>
    <d v="2014-01-09T00:00:00"/>
    <s v="Standard Class"/>
    <s v="BS-11590"/>
    <s v="Brendan Sweed"/>
    <s v="Corporate"/>
    <s v="United States"/>
    <s v="Gilbert"/>
    <s v="Arizona"/>
    <n v="85234"/>
    <x v="1"/>
    <s v="OFF-PA-10000482"/>
    <x v="1"/>
    <s v="Art"/>
    <s v="Hunt BOSTON Model 1606 High-Volume Electric Pencil Sharpener, Beige"/>
    <x v="29"/>
    <n v="8"/>
    <x v="2"/>
    <x v="29"/>
  </r>
  <r>
    <n v="70"/>
    <s v="CA-2013-119823"/>
    <x v="1"/>
    <n v="2013"/>
    <d v="2013-10-11T00:00:00"/>
    <d v="2014-01-10T00:00:00"/>
    <s v="First Class"/>
    <s v="KD-16270"/>
    <s v="Karen Daniels"/>
    <s v="Consumer"/>
    <s v="United States"/>
    <s v="Springfield"/>
    <s v="Virginia"/>
    <n v="22153"/>
    <x v="0"/>
    <s v="OFF-BI-10004654"/>
    <x v="1"/>
    <s v="Paper"/>
    <s v="Snap-A-Way Black Print Carbonless Ruled Speed Letter, Triplicate"/>
    <x v="30"/>
    <n v="2"/>
    <x v="0"/>
    <x v="30"/>
  </r>
  <r>
    <n v="71"/>
    <s v="CA-2013-106075"/>
    <x v="1"/>
    <n v="2013"/>
    <d v="2013-10-12T00:00:00"/>
    <d v="2014-01-11T00:00:00"/>
    <s v="Standard Class"/>
    <s v="HM-14980"/>
    <s v="Henry Macallister"/>
    <s v="Consumer"/>
    <s v="United States"/>
    <s v="New York City"/>
    <s v="New York"/>
    <n v="10009"/>
    <x v="3"/>
    <s v="OFF-PA-10004675"/>
    <x v="1"/>
    <s v="Binders"/>
    <s v="Avery Binding System Hidden Tab Executive Style Index Sets"/>
    <x v="31"/>
    <n v="1"/>
    <x v="2"/>
    <x v="31"/>
  </r>
  <r>
    <n v="72"/>
    <s v="CA-2014-114440"/>
    <x v="1"/>
    <n v="2014"/>
    <d v="2013-10-13T00:00:00"/>
    <d v="2014-01-12T00:00:00"/>
    <s v="Second Class"/>
    <s v="TB-21520"/>
    <s v="Tracy Blumstein"/>
    <s v="Consumer"/>
    <s v="United States"/>
    <s v="Jackson"/>
    <s v="Michigan"/>
    <n v="49201"/>
    <x v="2"/>
    <s v="FUR-CH-10000513"/>
    <x v="1"/>
    <s v="Paper"/>
    <s v="Telephone Message Books with Fax/Mobile Section, 5 1/2&quot; x 3 3/16&quot;"/>
    <x v="32"/>
    <n v="3"/>
    <x v="0"/>
    <x v="32"/>
  </r>
  <r>
    <n v="73"/>
    <s v="US-2012-134026"/>
    <x v="1"/>
    <n v="2012"/>
    <d v="2013-10-14T00:00:00"/>
    <d v="2014-01-13T00:00:00"/>
    <s v="Standard Class"/>
    <s v="JE-15745"/>
    <s v="Joel Eaton"/>
    <s v="Consumer"/>
    <s v="United States"/>
    <s v="Memphis"/>
    <s v="Tennessee"/>
    <n v="38109"/>
    <x v="0"/>
    <s v="OFF-BI-10004182"/>
    <x v="0"/>
    <s v="Chairs"/>
    <s v="High-Back Leather Manager's Chair"/>
    <x v="33"/>
    <n v="8"/>
    <x v="2"/>
    <x v="33"/>
  </r>
  <r>
    <n v="76"/>
    <s v="US-2014-118038"/>
    <x v="1"/>
    <n v="2014"/>
    <d v="2013-10-15T00:00:00"/>
    <d v="2014-01-14T00:00:00"/>
    <s v="First Class"/>
    <s v="KB-16600"/>
    <s v="Ken Brennan"/>
    <s v="Corporate"/>
    <s v="United States"/>
    <s v="Houston"/>
    <s v="Texas"/>
    <n v="77041"/>
    <x v="2"/>
    <s v="FUR-FU-10003194"/>
    <x v="1"/>
    <s v="Binders"/>
    <s v="Economy Binders"/>
    <x v="34"/>
    <n v="3"/>
    <x v="3"/>
    <x v="34"/>
  </r>
  <r>
    <n v="79"/>
    <s v="US-2011-147606"/>
    <x v="1"/>
    <n v="2011"/>
    <d v="2013-10-16T00:00:00"/>
    <d v="2014-01-15T00:00:00"/>
    <s v="Second Class"/>
    <s v="JE-15745"/>
    <s v="Joel Eaton"/>
    <s v="Consumer"/>
    <s v="United States"/>
    <s v="Houston"/>
    <s v="Texas"/>
    <n v="77070"/>
    <x v="2"/>
    <s v="OFF-AP-10002118"/>
    <x v="0"/>
    <s v="Furnishings"/>
    <s v="Eldon Expressions Desk Accessory, Wood Pencil Holder, Oak"/>
    <x v="35"/>
    <n v="5"/>
    <x v="6"/>
    <x v="35"/>
  </r>
  <r>
    <n v="80"/>
    <s v="CA-2013-127208"/>
    <x v="1"/>
    <n v="2013"/>
    <d v="2013-10-17T00:00:00"/>
    <d v="2014-01-16T00:00:00"/>
    <s v="First Class"/>
    <s v="SC-20770"/>
    <s v="Stewart Carmichael"/>
    <s v="Corporate"/>
    <s v="United States"/>
    <s v="Decatur"/>
    <s v="Alabama"/>
    <n v="35601"/>
    <x v="0"/>
    <s v="OFF-AR-10002053"/>
    <x v="1"/>
    <s v="Appliances"/>
    <s v="1.7 Cubic Foot Compact &quot;Cube&quot; Office Refrigerators"/>
    <x v="36"/>
    <n v="1"/>
    <x v="0"/>
    <x v="36"/>
  </r>
  <r>
    <n v="82"/>
    <s v="CA-2011-139451"/>
    <x v="1"/>
    <n v="2011"/>
    <d v="2013-10-18T00:00:00"/>
    <d v="2014-01-17T00:00:00"/>
    <s v="Standard Class"/>
    <s v="DN-13690"/>
    <s v="Duane Noonan"/>
    <s v="Consumer"/>
    <s v="United States"/>
    <s v="San Francisco"/>
    <s v="California"/>
    <n v="94122"/>
    <x v="1"/>
    <s v="OFF-EN-10000927"/>
    <x v="1"/>
    <s v="Art"/>
    <s v="Premium Writing Pencils, Soft, #2 by Central Association for the Blind"/>
    <x v="37"/>
    <n v="5"/>
    <x v="0"/>
    <x v="37"/>
  </r>
  <r>
    <n v="84"/>
    <s v="CA-2012-149734"/>
    <x v="1"/>
    <n v="2012"/>
    <d v="2013-10-19T00:00:00"/>
    <d v="2014-01-18T00:00:00"/>
    <s v="Standard Class"/>
    <s v="JC-16105"/>
    <s v="Julie Creighton"/>
    <s v="Corporate"/>
    <s v="United States"/>
    <s v="Durham"/>
    <s v="North Carolina"/>
    <n v="27707"/>
    <x v="0"/>
    <s v="OFF-ST-10003656"/>
    <x v="1"/>
    <s v="Envelopes"/>
    <s v="Jet-Pak Recycled Peel 'N' Seal Padded Mailers"/>
    <x v="38"/>
    <n v="7"/>
    <x v="2"/>
    <x v="38"/>
  </r>
  <r>
    <n v="85"/>
    <s v="US-2014-119662"/>
    <x v="1"/>
    <n v="2014"/>
    <d v="2013-10-20T00:00:00"/>
    <d v="2014-01-19T00:00:00"/>
    <s v="First Class"/>
    <s v="CS-12400"/>
    <s v="Christopher Schild"/>
    <s v="Home Office"/>
    <s v="United States"/>
    <s v="Chicago"/>
    <s v="Illinois"/>
    <n v="60623"/>
    <x v="2"/>
    <s v="FUR-CH-10000863"/>
    <x v="1"/>
    <s v="Storage"/>
    <s v="Safco Industrial Wire Shelving"/>
    <x v="39"/>
    <n v="3"/>
    <x v="2"/>
    <x v="39"/>
  </r>
  <r>
    <n v="86"/>
    <s v="CA-2014-140088"/>
    <x v="1"/>
    <n v="2014"/>
    <d v="2013-10-21T00:00:00"/>
    <d v="2014-01-20T00:00:00"/>
    <s v="Second Class"/>
    <s v="PO-18865"/>
    <s v="Patrick O'Donnell"/>
    <s v="Consumer"/>
    <s v="United States"/>
    <s v="Columbia"/>
    <s v="South Carolina"/>
    <n v="29203"/>
    <x v="0"/>
    <s v="TEC-AC-10001998"/>
    <x v="0"/>
    <s v="Chairs"/>
    <s v="Novimex Swivel Fabric Task Chair"/>
    <x v="40"/>
    <n v="2"/>
    <x v="0"/>
    <x v="40"/>
  </r>
  <r>
    <n v="87"/>
    <s v="CA-2014-155558"/>
    <x v="1"/>
    <n v="2014"/>
    <d v="2013-10-22T00:00:00"/>
    <d v="2014-01-21T00:00:00"/>
    <s v="Standard Class"/>
    <s v="PG-18895"/>
    <s v="Paul Gonzalez"/>
    <s v="Consumer"/>
    <s v="United States"/>
    <s v="Rochester"/>
    <s v="Minnesota"/>
    <n v="55901"/>
    <x v="2"/>
    <s v="OFF-ST-10003442"/>
    <x v="2"/>
    <s v="Accessories"/>
    <s v="Logitech LS21 Speaker System - PC Multimedia - 2.1-CH - Wired"/>
    <x v="41"/>
    <n v="1"/>
    <x v="0"/>
    <x v="41"/>
  </r>
  <r>
    <n v="89"/>
    <s v="CA-2013-159695"/>
    <x v="1"/>
    <n v="2013"/>
    <d v="2013-10-23T00:00:00"/>
    <d v="2014-01-22T00:00:00"/>
    <s v="Second Class"/>
    <s v="GM-14455"/>
    <s v="Gary Mitchum"/>
    <s v="Home Office"/>
    <s v="United States"/>
    <s v="Houston"/>
    <s v="Texas"/>
    <n v="77095"/>
    <x v="2"/>
    <s v="OFF-AR-10004930"/>
    <x v="1"/>
    <s v="Storage"/>
    <s v="Eldon Portable Mobile Manager"/>
    <x v="42"/>
    <n v="7"/>
    <x v="2"/>
    <x v="42"/>
  </r>
  <r>
    <n v="90"/>
    <s v="CA-2013-109806"/>
    <x v="1"/>
    <n v="2013"/>
    <d v="2013-10-24T00:00:00"/>
    <d v="2014-01-23T00:00:00"/>
    <s v="Standard Class"/>
    <s v="JS-15685"/>
    <s v="Jim Sink"/>
    <s v="Corporate"/>
    <s v="United States"/>
    <s v="Los Angeles"/>
    <s v="California"/>
    <n v="90036"/>
    <x v="1"/>
    <s v="OFF-PA-10003177"/>
    <x v="1"/>
    <s v="Art"/>
    <s v="Turquoise Lead Holder with Pocket Clip"/>
    <x v="43"/>
    <n v="3"/>
    <x v="0"/>
    <x v="43"/>
  </r>
  <r>
    <n v="93"/>
    <s v="CA-2012-149587"/>
    <x v="1"/>
    <n v="2012"/>
    <d v="2013-10-25T00:00:00"/>
    <d v="2014-01-24T00:00:00"/>
    <s v="Second Class"/>
    <s v="KB-16315"/>
    <s v="Karl Braun"/>
    <s v="Consumer"/>
    <s v="United States"/>
    <s v="Minneapolis"/>
    <s v="Minnesota"/>
    <n v="55407"/>
    <x v="2"/>
    <s v="OFF-BI-10004738"/>
    <x v="1"/>
    <s v="Paper"/>
    <s v="Xerox 1999"/>
    <x v="44"/>
    <n v="2"/>
    <x v="0"/>
    <x v="44"/>
  </r>
  <r>
    <n v="96"/>
    <s v="US-2014-109484"/>
    <x v="1"/>
    <n v="2014"/>
    <d v="2013-10-26T00:00:00"/>
    <d v="2014-01-25T00:00:00"/>
    <s v="Standard Class"/>
    <s v="RB-19705"/>
    <s v="Roger Barcio"/>
    <s v="Home Office"/>
    <s v="United States"/>
    <s v="Portland"/>
    <s v="Oregon"/>
    <n v="97206"/>
    <x v="1"/>
    <s v="FUR-FU-10000629"/>
    <x v="1"/>
    <s v="Binders"/>
    <s v="Flexible Leather- Look Classic Collection Ring Binder"/>
    <x v="45"/>
    <n v="1"/>
    <x v="7"/>
    <x v="45"/>
  </r>
  <r>
    <n v="97"/>
    <s v="CA-2014-161018"/>
    <x v="1"/>
    <n v="2014"/>
    <d v="2013-10-27T00:00:00"/>
    <d v="2014-01-26T00:00:00"/>
    <s v="Second Class"/>
    <s v="PN-18775"/>
    <s v="Parhena Norris"/>
    <s v="Home Office"/>
    <s v="United States"/>
    <s v="New York City"/>
    <s v="New York"/>
    <n v="10009"/>
    <x v="3"/>
    <s v="OFF-BI-10001721"/>
    <x v="0"/>
    <s v="Furnishings"/>
    <s v="9-3/4 Diameter Round Wall Clock"/>
    <x v="46"/>
    <n v="7"/>
    <x v="0"/>
    <x v="46"/>
  </r>
  <r>
    <n v="98"/>
    <s v="CA-2014-157833"/>
    <x v="1"/>
    <n v="2014"/>
    <d v="2013-10-28T00:00:00"/>
    <d v="2014-01-27T00:00:00"/>
    <s v="First Class"/>
    <s v="KD-16345"/>
    <s v="Katherine Ducich"/>
    <s v="Consumer"/>
    <s v="United States"/>
    <s v="San Francisco"/>
    <s v="California"/>
    <n v="94122"/>
    <x v="1"/>
    <s v="OFF-AP-10000358"/>
    <x v="1"/>
    <s v="Binders"/>
    <s v="Trimflex Flexible Post Binders"/>
    <x v="47"/>
    <n v="3"/>
    <x v="2"/>
    <x v="47"/>
  </r>
  <r>
    <m/>
    <m/>
    <x v="2"/>
    <m/>
    <m/>
    <m/>
    <m/>
    <m/>
    <m/>
    <m/>
    <m/>
    <m/>
    <m/>
    <m/>
    <x v="4"/>
    <m/>
    <x v="3"/>
    <m/>
    <m/>
    <x v="48"/>
    <m/>
    <x v="8"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iscount">
  <location ref="A43:B52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>
      <items count="50">
        <item x="34"/>
        <item x="31"/>
        <item x="45"/>
        <item x="9"/>
        <item x="13"/>
        <item x="44"/>
        <item x="27"/>
        <item x="1"/>
        <item x="37"/>
        <item x="25"/>
        <item x="4"/>
        <item x="32"/>
        <item x="35"/>
        <item x="10"/>
        <item x="41"/>
        <item x="43"/>
        <item x="15"/>
        <item x="24"/>
        <item x="23"/>
        <item x="21"/>
        <item x="3"/>
        <item x="47"/>
        <item x="8"/>
        <item x="6"/>
        <item x="11"/>
        <item x="30"/>
        <item x="19"/>
        <item x="20"/>
        <item x="46"/>
        <item x="17"/>
        <item x="18"/>
        <item x="42"/>
        <item x="38"/>
        <item x="36"/>
        <item x="26"/>
        <item x="22"/>
        <item x="28"/>
        <item x="39"/>
        <item x="0"/>
        <item x="40"/>
        <item x="5"/>
        <item x="7"/>
        <item x="33"/>
        <item x="2"/>
        <item x="12"/>
        <item x="16"/>
        <item x="29"/>
        <item x="14"/>
        <item x="48"/>
        <item t="default"/>
      </items>
    </pivotField>
    <pivotField showAll="0"/>
    <pivotField axis="axisRow" sortType="ascending" showAll="0">
      <items count="10">
        <item x="0"/>
        <item x="2"/>
        <item x="4"/>
        <item x="1"/>
        <item x="5"/>
        <item x="6"/>
        <item x="7"/>
        <item x="3"/>
        <item h="1" x="8"/>
        <item t="default"/>
      </items>
    </pivotField>
    <pivotField dataField="1" showAll="0">
      <items count="50">
        <item x="14"/>
        <item x="2"/>
        <item x="6"/>
        <item x="33"/>
        <item x="39"/>
        <item x="28"/>
        <item x="35"/>
        <item x="45"/>
        <item x="34"/>
        <item x="11"/>
        <item x="31"/>
        <item x="9"/>
        <item x="19"/>
        <item x="37"/>
        <item x="13"/>
        <item x="23"/>
        <item x="10"/>
        <item x="4"/>
        <item x="27"/>
        <item x="44"/>
        <item x="25"/>
        <item x="43"/>
        <item x="41"/>
        <item x="1"/>
        <item x="22"/>
        <item x="32"/>
        <item x="20"/>
        <item x="15"/>
        <item x="8"/>
        <item x="7"/>
        <item x="42"/>
        <item x="3"/>
        <item x="18"/>
        <item x="47"/>
        <item x="24"/>
        <item x="21"/>
        <item x="40"/>
        <item x="17"/>
        <item x="30"/>
        <item x="46"/>
        <item x="0"/>
        <item x="26"/>
        <item x="36"/>
        <item x="38"/>
        <item x="29"/>
        <item x="16"/>
        <item x="5"/>
        <item x="12"/>
        <item x="48"/>
        <item t="default"/>
      </items>
    </pivotField>
  </pivotFields>
  <rowFields count="1">
    <field x="2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" fld="22" baseField="21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21" type="button" dataOnly="0" labelOnly="1" outline="0" fieldPosition="0"/>
    </format>
    <format dxfId="3">
      <pivotArea dataOnly="0" labelOnly="1" fieldPosition="0">
        <references count="1">
          <reference field="21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21" type="button" dataOnly="0" labelOnly="1" outline="0" fieldPosition="0"/>
    </format>
    <format dxfId="9">
      <pivotArea dataOnly="0" labelOnly="1" fieldPosition="0">
        <references count="1">
          <reference field="21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iscount">
  <location ref="A34:B37" firstHeaderRow="1" firstDataRow="1" firstDataCol="1"/>
  <pivotFields count="23">
    <pivotField showAll="0"/>
    <pivotField showAll="0"/>
    <pivotField axis="axisRow" sortType="descending" showAll="0">
      <items count="4">
        <item x="0"/>
        <item x="1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ortType="descending" showAll="0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>
      <items count="50">
        <item x="34"/>
        <item x="31"/>
        <item x="45"/>
        <item x="9"/>
        <item x="13"/>
        <item x="44"/>
        <item x="27"/>
        <item x="1"/>
        <item x="37"/>
        <item x="25"/>
        <item x="4"/>
        <item x="32"/>
        <item x="35"/>
        <item x="10"/>
        <item x="41"/>
        <item x="43"/>
        <item x="15"/>
        <item x="24"/>
        <item x="23"/>
        <item x="21"/>
        <item x="3"/>
        <item x="47"/>
        <item x="8"/>
        <item x="6"/>
        <item x="11"/>
        <item x="30"/>
        <item x="19"/>
        <item x="20"/>
        <item x="46"/>
        <item x="17"/>
        <item x="18"/>
        <item x="42"/>
        <item x="38"/>
        <item x="36"/>
        <item x="26"/>
        <item x="22"/>
        <item x="28"/>
        <item x="39"/>
        <item x="0"/>
        <item x="40"/>
        <item x="5"/>
        <item x="7"/>
        <item x="33"/>
        <item x="2"/>
        <item x="12"/>
        <item x="16"/>
        <item x="29"/>
        <item x="14"/>
        <item x="48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ales" fld="19" baseField="0" baseItem="0"/>
  </dataFields>
  <formats count="12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2" type="button" dataOnly="0" labelOnly="1" outline="0" fieldPosition="0"/>
    </format>
    <format dxfId="15">
      <pivotArea dataOnly="0" labelOnly="1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2" type="button" dataOnly="0" labelOnly="1" outline="0" fieldPosition="0"/>
    </format>
    <format dxfId="21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3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iscount">
  <location ref="A23:B2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ortType="descending" showAll="0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>
      <items count="50">
        <item x="34"/>
        <item x="31"/>
        <item x="45"/>
        <item x="9"/>
        <item x="13"/>
        <item x="44"/>
        <item x="27"/>
        <item x="1"/>
        <item x="37"/>
        <item x="25"/>
        <item x="4"/>
        <item x="32"/>
        <item x="35"/>
        <item x="10"/>
        <item x="41"/>
        <item x="43"/>
        <item x="15"/>
        <item x="24"/>
        <item x="23"/>
        <item x="21"/>
        <item x="3"/>
        <item x="47"/>
        <item x="8"/>
        <item x="6"/>
        <item x="11"/>
        <item x="30"/>
        <item x="19"/>
        <item x="20"/>
        <item x="46"/>
        <item x="17"/>
        <item x="18"/>
        <item x="42"/>
        <item x="38"/>
        <item x="36"/>
        <item x="26"/>
        <item x="22"/>
        <item x="28"/>
        <item x="39"/>
        <item x="0"/>
        <item x="40"/>
        <item x="5"/>
        <item x="7"/>
        <item x="33"/>
        <item x="2"/>
        <item x="12"/>
        <item x="16"/>
        <item x="29"/>
        <item x="14"/>
        <item x="48"/>
        <item t="default"/>
      </items>
    </pivotField>
    <pivotField showAll="0"/>
    <pivotField showAll="0"/>
    <pivotField showAll="0"/>
  </pivotFields>
  <rowFields count="1">
    <field x="14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Sales" fld="19" baseField="0" baseItem="0"/>
  </dataFields>
  <formats count="12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14" type="button" dataOnly="0" labelOnly="1" outline="0" fieldPosition="0"/>
    </format>
    <format dxfId="27">
      <pivotArea dataOnly="0" labelOnly="1" fieldPosition="0">
        <references count="1">
          <reference field="14" count="0"/>
        </references>
      </pivotArea>
    </format>
    <format dxfId="28">
      <pivotArea dataOnly="0" labelOnly="1" grandRow="1" outline="0" fieldPosition="0"/>
    </format>
    <format dxfId="29">
      <pivotArea dataOnly="0" labelOnly="1" outline="0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14" type="button" dataOnly="0" labelOnly="1" outline="0" fieldPosition="0"/>
    </format>
    <format dxfId="33">
      <pivotArea dataOnly="0" labelOnly="1" fieldPosition="0">
        <references count="1">
          <reference field="14" count="0"/>
        </references>
      </pivotArea>
    </format>
    <format dxfId="34">
      <pivotArea dataOnly="0" labelOnly="1" grandRow="1" outline="0" fieldPosition="0"/>
    </format>
    <format dxfId="35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iscount">
  <location ref="A13:B1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ortType="descending" showAll="0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50">
        <item x="14"/>
        <item x="2"/>
        <item x="6"/>
        <item x="33"/>
        <item x="39"/>
        <item x="28"/>
        <item x="35"/>
        <item x="45"/>
        <item x="34"/>
        <item x="11"/>
        <item x="31"/>
        <item x="9"/>
        <item x="19"/>
        <item x="37"/>
        <item x="13"/>
        <item x="23"/>
        <item x="10"/>
        <item x="4"/>
        <item x="27"/>
        <item x="44"/>
        <item x="25"/>
        <item x="43"/>
        <item x="41"/>
        <item x="1"/>
        <item x="22"/>
        <item x="32"/>
        <item x="20"/>
        <item x="15"/>
        <item x="8"/>
        <item x="7"/>
        <item x="42"/>
        <item x="3"/>
        <item x="18"/>
        <item x="47"/>
        <item x="24"/>
        <item x="21"/>
        <item x="40"/>
        <item x="17"/>
        <item x="30"/>
        <item x="46"/>
        <item x="0"/>
        <item x="26"/>
        <item x="36"/>
        <item x="38"/>
        <item x="29"/>
        <item x="16"/>
        <item x="5"/>
        <item x="12"/>
        <item x="48"/>
        <item t="default"/>
      </items>
    </pivotField>
  </pivotFields>
  <rowFields count="1">
    <field x="16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fit" fld="22" baseField="16" baseItem="0"/>
  </dataFields>
  <formats count="13">
    <format dxfId="36">
      <pivotArea dataOnly="0" labelOnly="1" outline="0" fieldPosition="0"/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16" type="button" dataOnly="0" labelOnly="1" outline="0" fieldPosition="0"/>
    </format>
    <format dxfId="40">
      <pivotArea dataOnly="0" labelOnly="1" fieldPosition="0">
        <references count="1">
          <reference field="16" count="0"/>
        </references>
      </pivotArea>
    </format>
    <format dxfId="41">
      <pivotArea dataOnly="0" labelOnly="1" grandRow="1" outline="0" fieldPosition="0"/>
    </format>
    <format dxfId="42">
      <pivotArea dataOnly="0" labelOnly="1" outline="0" fieldPosition="0"/>
    </format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16" type="button" dataOnly="0" labelOnly="1" outline="0" fieldPosition="0"/>
    </format>
    <format dxfId="46">
      <pivotArea dataOnly="0" labelOnly="1" fieldPosition="0">
        <references count="1">
          <reference field="16" count="0"/>
        </references>
      </pivotArea>
    </format>
    <format dxfId="47">
      <pivotArea dataOnly="0" labelOnly="1" grandRow="1" outline="0" fieldPosition="0"/>
    </format>
    <format dxfId="48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Discount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ortType="descending" showAll="0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50">
        <item x="34"/>
        <item x="31"/>
        <item x="45"/>
        <item x="9"/>
        <item x="13"/>
        <item x="44"/>
        <item x="27"/>
        <item x="1"/>
        <item x="37"/>
        <item x="25"/>
        <item x="4"/>
        <item x="32"/>
        <item x="35"/>
        <item x="10"/>
        <item x="41"/>
        <item x="43"/>
        <item x="15"/>
        <item x="24"/>
        <item x="23"/>
        <item x="21"/>
        <item x="3"/>
        <item x="47"/>
        <item x="8"/>
        <item x="6"/>
        <item x="11"/>
        <item x="30"/>
        <item x="19"/>
        <item x="20"/>
        <item x="46"/>
        <item x="17"/>
        <item x="18"/>
        <item x="42"/>
        <item x="38"/>
        <item x="36"/>
        <item x="26"/>
        <item x="22"/>
        <item x="28"/>
        <item x="39"/>
        <item x="0"/>
        <item x="40"/>
        <item x="5"/>
        <item x="7"/>
        <item x="33"/>
        <item x="2"/>
        <item x="12"/>
        <item x="16"/>
        <item x="29"/>
        <item x="14"/>
        <item x="48"/>
        <item t="default"/>
      </items>
    </pivotField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16" baseItem="0"/>
  </dataFields>
  <formats count="12"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16" type="button" dataOnly="0" labelOnly="1" outline="0" fieldPosition="0"/>
    </format>
    <format dxfId="52">
      <pivotArea dataOnly="0" labelOnly="1" fieldPosition="0">
        <references count="1">
          <reference field="16" count="0"/>
        </references>
      </pivotArea>
    </format>
    <format dxfId="53">
      <pivotArea dataOnly="0" labelOnly="1" grandRow="1" outline="0" fieldPosition="0"/>
    </format>
    <format dxfId="54">
      <pivotArea dataOnly="0" labelOnly="1" outline="0" fieldPosition="0"/>
    </format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16" type="button" dataOnly="0" labelOnly="1" outline="0" fieldPosition="0"/>
    </format>
    <format dxfId="58">
      <pivotArea dataOnly="0" labelOnly="1" fieldPosition="0">
        <references count="1">
          <reference field="16" count="0"/>
        </references>
      </pivotArea>
    </format>
    <format dxfId="59">
      <pivotArea dataOnly="0" labelOnly="1" grandRow="1" outline="0" fieldPosition="0"/>
    </format>
    <format dxfId="60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workbookViewId="0">
      <selection activeCell="C1" sqref="C$1:C$1048576"/>
    </sheetView>
  </sheetViews>
  <sheetFormatPr defaultColWidth="9" defaultRowHeight="15"/>
  <cols>
    <col min="1" max="2" width="9.14285714285714" style="9"/>
    <col min="3" max="4" width="10.4285714285714" style="12" customWidth="1"/>
    <col min="5" max="7" width="9.14285714285714" style="9"/>
    <col min="8" max="8" width="11.1428571428571" style="9" customWidth="1"/>
    <col min="9" max="16" width="9.14285714285714" style="9"/>
    <col min="17" max="17" width="13.7142857142857" style="9" customWidth="1"/>
    <col min="18" max="18" width="9.71428571428571" style="13" customWidth="1"/>
    <col min="19" max="19" width="9.14285714285714" style="9"/>
    <col min="20" max="20" width="9.14285714285714" style="14"/>
    <col min="21" max="21" width="11.2857142857143" style="15" customWidth="1"/>
    <col min="22" max="16384" width="9.14285714285714" style="9"/>
  </cols>
  <sheetData>
    <row r="1" ht="32.25" spans="1:21">
      <c r="A1" s="16" t="s">
        <v>0</v>
      </c>
      <c r="B1" s="16" t="s">
        <v>1</v>
      </c>
      <c r="C1" s="19" t="s">
        <v>2</v>
      </c>
      <c r="D1" s="19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25" t="s">
        <v>17</v>
      </c>
      <c r="S1" s="16" t="s">
        <v>18</v>
      </c>
      <c r="T1" s="26" t="s">
        <v>19</v>
      </c>
      <c r="U1" s="27" t="s">
        <v>20</v>
      </c>
    </row>
    <row r="2" ht="60.75" spans="1:21">
      <c r="A2" s="20">
        <v>1</v>
      </c>
      <c r="B2" s="21" t="s">
        <v>21</v>
      </c>
      <c r="C2" s="24">
        <v>41528</v>
      </c>
      <c r="D2" s="24">
        <v>41619</v>
      </c>
      <c r="E2" s="21" t="s">
        <v>22</v>
      </c>
      <c r="F2" s="21" t="s">
        <v>23</v>
      </c>
      <c r="G2" s="21" t="s">
        <v>24</v>
      </c>
      <c r="H2" s="21" t="s">
        <v>25</v>
      </c>
      <c r="I2" s="21" t="s">
        <v>26</v>
      </c>
      <c r="J2" s="21" t="s">
        <v>27</v>
      </c>
      <c r="K2" s="21" t="s">
        <v>28</v>
      </c>
      <c r="L2" s="20">
        <v>42420</v>
      </c>
      <c r="M2" s="21" t="s">
        <v>29</v>
      </c>
      <c r="N2" s="21" t="s">
        <v>30</v>
      </c>
      <c r="O2" s="21" t="s">
        <v>31</v>
      </c>
      <c r="P2" s="21" t="s">
        <v>32</v>
      </c>
      <c r="Q2" s="21" t="s">
        <v>33</v>
      </c>
      <c r="R2" s="28">
        <v>261.96</v>
      </c>
      <c r="S2" s="20">
        <v>2</v>
      </c>
      <c r="T2" s="29">
        <v>0</v>
      </c>
      <c r="U2" s="30">
        <v>41.9136</v>
      </c>
    </row>
    <row r="3" ht="75.75" spans="1:21">
      <c r="A3" s="20">
        <v>3</v>
      </c>
      <c r="B3" s="21" t="s">
        <v>34</v>
      </c>
      <c r="C3" s="24">
        <v>41529</v>
      </c>
      <c r="D3" s="24" t="s">
        <v>35</v>
      </c>
      <c r="E3" s="21" t="s">
        <v>22</v>
      </c>
      <c r="F3" s="21" t="s">
        <v>36</v>
      </c>
      <c r="G3" s="21" t="s">
        <v>37</v>
      </c>
      <c r="H3" s="21" t="s">
        <v>38</v>
      </c>
      <c r="I3" s="21" t="s">
        <v>26</v>
      </c>
      <c r="J3" s="21" t="s">
        <v>39</v>
      </c>
      <c r="K3" s="21" t="s">
        <v>40</v>
      </c>
      <c r="L3" s="20">
        <v>90036</v>
      </c>
      <c r="M3" s="21" t="s">
        <v>41</v>
      </c>
      <c r="N3" s="21" t="s">
        <v>42</v>
      </c>
      <c r="O3" s="21" t="s">
        <v>43</v>
      </c>
      <c r="P3" s="21" t="s">
        <v>44</v>
      </c>
      <c r="Q3" s="21" t="s">
        <v>45</v>
      </c>
      <c r="R3" s="28">
        <v>14.62</v>
      </c>
      <c r="S3" s="20">
        <v>2</v>
      </c>
      <c r="T3" s="29">
        <v>0</v>
      </c>
      <c r="U3" s="30">
        <v>6.8714</v>
      </c>
    </row>
    <row r="4" ht="75.75" spans="1:21">
      <c r="A4" s="20">
        <v>4</v>
      </c>
      <c r="B4" s="21" t="s">
        <v>46</v>
      </c>
      <c r="C4" s="24">
        <v>41530</v>
      </c>
      <c r="D4" s="24" t="s">
        <v>47</v>
      </c>
      <c r="E4" s="21" t="s">
        <v>48</v>
      </c>
      <c r="F4" s="21" t="s">
        <v>49</v>
      </c>
      <c r="G4" s="21" t="s">
        <v>50</v>
      </c>
      <c r="H4" s="21" t="s">
        <v>25</v>
      </c>
      <c r="I4" s="21" t="s">
        <v>26</v>
      </c>
      <c r="J4" s="21" t="s">
        <v>51</v>
      </c>
      <c r="K4" s="21" t="s">
        <v>52</v>
      </c>
      <c r="L4" s="20">
        <v>33311</v>
      </c>
      <c r="M4" s="21" t="s">
        <v>29</v>
      </c>
      <c r="N4" s="21" t="s">
        <v>53</v>
      </c>
      <c r="O4" s="21" t="s">
        <v>31</v>
      </c>
      <c r="P4" s="21" t="s">
        <v>54</v>
      </c>
      <c r="Q4" s="21" t="s">
        <v>55</v>
      </c>
      <c r="R4" s="28">
        <v>957.5775</v>
      </c>
      <c r="S4" s="20">
        <v>5</v>
      </c>
      <c r="T4" s="29">
        <v>0.45</v>
      </c>
      <c r="U4" s="30">
        <v>-383.031</v>
      </c>
    </row>
    <row r="5" ht="90.75" spans="1:21">
      <c r="A5" s="20">
        <v>6</v>
      </c>
      <c r="B5" s="21" t="s">
        <v>56</v>
      </c>
      <c r="C5" s="24">
        <v>41531</v>
      </c>
      <c r="D5" s="24" t="s">
        <v>57</v>
      </c>
      <c r="E5" s="21" t="s">
        <v>48</v>
      </c>
      <c r="F5" s="21" t="s">
        <v>58</v>
      </c>
      <c r="G5" s="21" t="s">
        <v>59</v>
      </c>
      <c r="H5" s="21" t="s">
        <v>25</v>
      </c>
      <c r="I5" s="21" t="s">
        <v>26</v>
      </c>
      <c r="J5" s="21" t="s">
        <v>39</v>
      </c>
      <c r="K5" s="21" t="s">
        <v>40</v>
      </c>
      <c r="L5" s="20">
        <v>90032</v>
      </c>
      <c r="M5" s="21" t="s">
        <v>41</v>
      </c>
      <c r="N5" s="21" t="s">
        <v>60</v>
      </c>
      <c r="O5" s="21" t="s">
        <v>31</v>
      </c>
      <c r="P5" s="21" t="s">
        <v>61</v>
      </c>
      <c r="Q5" s="21" t="s">
        <v>62</v>
      </c>
      <c r="R5" s="28">
        <v>48.86</v>
      </c>
      <c r="S5" s="20">
        <v>7</v>
      </c>
      <c r="T5" s="29">
        <v>0</v>
      </c>
      <c r="U5" s="30">
        <v>14.1694</v>
      </c>
    </row>
    <row r="6" ht="30.75" spans="1:21">
      <c r="A6" s="20">
        <v>13</v>
      </c>
      <c r="B6" s="21" t="s">
        <v>63</v>
      </c>
      <c r="C6" s="24">
        <v>41532</v>
      </c>
      <c r="D6" s="24" t="s">
        <v>64</v>
      </c>
      <c r="E6" s="21" t="s">
        <v>48</v>
      </c>
      <c r="F6" s="21" t="s">
        <v>65</v>
      </c>
      <c r="G6" s="21" t="s">
        <v>66</v>
      </c>
      <c r="H6" s="21" t="s">
        <v>25</v>
      </c>
      <c r="I6" s="21" t="s">
        <v>26</v>
      </c>
      <c r="J6" s="21" t="s">
        <v>67</v>
      </c>
      <c r="K6" s="21" t="s">
        <v>68</v>
      </c>
      <c r="L6" s="20">
        <v>28027</v>
      </c>
      <c r="M6" s="21" t="s">
        <v>29</v>
      </c>
      <c r="N6" s="21" t="s">
        <v>69</v>
      </c>
      <c r="O6" s="21" t="s">
        <v>43</v>
      </c>
      <c r="P6" s="21" t="s">
        <v>70</v>
      </c>
      <c r="Q6" s="21" t="s">
        <v>71</v>
      </c>
      <c r="R6" s="28">
        <v>15.552</v>
      </c>
      <c r="S6" s="20">
        <v>3</v>
      </c>
      <c r="T6" s="29">
        <v>0.2</v>
      </c>
      <c r="U6" s="30">
        <v>5.4432</v>
      </c>
    </row>
    <row r="7" ht="60.75" spans="1:21">
      <c r="A7" s="20">
        <v>14</v>
      </c>
      <c r="B7" s="21" t="s">
        <v>72</v>
      </c>
      <c r="C7" s="24">
        <v>41533</v>
      </c>
      <c r="D7" s="24">
        <v>41590</v>
      </c>
      <c r="E7" s="21" t="s">
        <v>48</v>
      </c>
      <c r="F7" s="21" t="s">
        <v>73</v>
      </c>
      <c r="G7" s="21" t="s">
        <v>74</v>
      </c>
      <c r="H7" s="21" t="s">
        <v>25</v>
      </c>
      <c r="I7" s="21" t="s">
        <v>26</v>
      </c>
      <c r="J7" s="21" t="s">
        <v>75</v>
      </c>
      <c r="K7" s="21" t="s">
        <v>76</v>
      </c>
      <c r="L7" s="20">
        <v>98103</v>
      </c>
      <c r="M7" s="21" t="s">
        <v>41</v>
      </c>
      <c r="N7" s="21" t="s">
        <v>77</v>
      </c>
      <c r="O7" s="21" t="s">
        <v>43</v>
      </c>
      <c r="P7" s="21" t="s">
        <v>78</v>
      </c>
      <c r="Q7" s="21" t="s">
        <v>79</v>
      </c>
      <c r="R7" s="28">
        <v>407.976</v>
      </c>
      <c r="S7" s="20">
        <v>3</v>
      </c>
      <c r="T7" s="29">
        <v>0.2</v>
      </c>
      <c r="U7" s="30">
        <v>132.5922</v>
      </c>
    </row>
    <row r="8" ht="105.75" spans="1:21">
      <c r="A8" s="20">
        <v>15</v>
      </c>
      <c r="B8" s="21" t="s">
        <v>80</v>
      </c>
      <c r="C8" s="24">
        <v>41534</v>
      </c>
      <c r="D8" s="24" t="s">
        <v>81</v>
      </c>
      <c r="E8" s="21" t="s">
        <v>48</v>
      </c>
      <c r="F8" s="21" t="s">
        <v>82</v>
      </c>
      <c r="G8" s="21" t="s">
        <v>83</v>
      </c>
      <c r="H8" s="21" t="s">
        <v>84</v>
      </c>
      <c r="I8" s="21" t="s">
        <v>26</v>
      </c>
      <c r="J8" s="21" t="s">
        <v>85</v>
      </c>
      <c r="K8" s="21" t="s">
        <v>86</v>
      </c>
      <c r="L8" s="20">
        <v>76106</v>
      </c>
      <c r="M8" s="21" t="s">
        <v>87</v>
      </c>
      <c r="N8" s="21" t="s">
        <v>88</v>
      </c>
      <c r="O8" s="21" t="s">
        <v>43</v>
      </c>
      <c r="P8" s="21" t="s">
        <v>89</v>
      </c>
      <c r="Q8" s="21" t="s">
        <v>90</v>
      </c>
      <c r="R8" s="28">
        <v>68.81</v>
      </c>
      <c r="S8" s="20">
        <v>5</v>
      </c>
      <c r="T8" s="29">
        <v>0.8</v>
      </c>
      <c r="U8" s="30">
        <v>-123.858</v>
      </c>
    </row>
    <row r="9" ht="90.75" spans="1:21">
      <c r="A9" s="20">
        <v>17</v>
      </c>
      <c r="B9" s="21" t="s">
        <v>91</v>
      </c>
      <c r="C9" s="24">
        <v>41535</v>
      </c>
      <c r="D9" s="24" t="s">
        <v>92</v>
      </c>
      <c r="E9" s="21" t="s">
        <v>48</v>
      </c>
      <c r="F9" s="21" t="s">
        <v>93</v>
      </c>
      <c r="G9" s="21" t="s">
        <v>94</v>
      </c>
      <c r="H9" s="21" t="s">
        <v>25</v>
      </c>
      <c r="I9" s="21" t="s">
        <v>26</v>
      </c>
      <c r="J9" s="21" t="s">
        <v>95</v>
      </c>
      <c r="K9" s="21" t="s">
        <v>96</v>
      </c>
      <c r="L9" s="20">
        <v>53711</v>
      </c>
      <c r="M9" s="21" t="s">
        <v>87</v>
      </c>
      <c r="N9" s="21" t="s">
        <v>97</v>
      </c>
      <c r="O9" s="21" t="s">
        <v>43</v>
      </c>
      <c r="P9" s="21" t="s">
        <v>98</v>
      </c>
      <c r="Q9" s="21" t="s">
        <v>99</v>
      </c>
      <c r="R9" s="28">
        <v>665.88</v>
      </c>
      <c r="S9" s="20">
        <v>6</v>
      </c>
      <c r="T9" s="29">
        <v>0</v>
      </c>
      <c r="U9" s="30">
        <v>13.3176</v>
      </c>
    </row>
    <row r="10" ht="45.75" spans="1:21">
      <c r="A10" s="20">
        <v>18</v>
      </c>
      <c r="B10" s="21" t="s">
        <v>100</v>
      </c>
      <c r="C10" s="24">
        <v>41536</v>
      </c>
      <c r="D10" s="24" t="s">
        <v>101</v>
      </c>
      <c r="E10" s="21" t="s">
        <v>22</v>
      </c>
      <c r="F10" s="21" t="s">
        <v>102</v>
      </c>
      <c r="G10" s="21" t="s">
        <v>103</v>
      </c>
      <c r="H10" s="21" t="s">
        <v>25</v>
      </c>
      <c r="I10" s="21" t="s">
        <v>26</v>
      </c>
      <c r="J10" s="21" t="s">
        <v>104</v>
      </c>
      <c r="K10" s="21" t="s">
        <v>105</v>
      </c>
      <c r="L10" s="20">
        <v>84084</v>
      </c>
      <c r="M10" s="21" t="s">
        <v>41</v>
      </c>
      <c r="N10" s="21" t="s">
        <v>106</v>
      </c>
      <c r="O10" s="21" t="s">
        <v>43</v>
      </c>
      <c r="P10" s="21" t="s">
        <v>98</v>
      </c>
      <c r="Q10" s="21" t="s">
        <v>107</v>
      </c>
      <c r="R10" s="28">
        <v>55.5</v>
      </c>
      <c r="S10" s="20">
        <v>2</v>
      </c>
      <c r="T10" s="29">
        <v>0</v>
      </c>
      <c r="U10" s="30">
        <v>9.99</v>
      </c>
    </row>
    <row r="11" ht="30.75" spans="1:21">
      <c r="A11" s="20">
        <v>19</v>
      </c>
      <c r="B11" s="21" t="s">
        <v>108</v>
      </c>
      <c r="C11" s="24">
        <v>41537</v>
      </c>
      <c r="D11" s="24">
        <v>40552</v>
      </c>
      <c r="E11" s="21" t="s">
        <v>22</v>
      </c>
      <c r="F11" s="21" t="s">
        <v>109</v>
      </c>
      <c r="G11" s="21" t="s">
        <v>110</v>
      </c>
      <c r="H11" s="21" t="s">
        <v>25</v>
      </c>
      <c r="I11" s="21" t="s">
        <v>26</v>
      </c>
      <c r="J11" s="21" t="s">
        <v>111</v>
      </c>
      <c r="K11" s="21" t="s">
        <v>40</v>
      </c>
      <c r="L11" s="20">
        <v>94109</v>
      </c>
      <c r="M11" s="21" t="s">
        <v>41</v>
      </c>
      <c r="N11" s="21" t="s">
        <v>112</v>
      </c>
      <c r="O11" s="21" t="s">
        <v>43</v>
      </c>
      <c r="P11" s="21" t="s">
        <v>113</v>
      </c>
      <c r="Q11" s="21" t="s">
        <v>114</v>
      </c>
      <c r="R11" s="28">
        <v>8.56</v>
      </c>
      <c r="S11" s="20">
        <v>2</v>
      </c>
      <c r="T11" s="29">
        <v>0</v>
      </c>
      <c r="U11" s="30">
        <v>2.4824</v>
      </c>
    </row>
    <row r="12" ht="30.75" spans="1:21">
      <c r="A12" s="20">
        <v>22</v>
      </c>
      <c r="B12" s="21" t="s">
        <v>115</v>
      </c>
      <c r="C12" s="24">
        <v>41538</v>
      </c>
      <c r="D12" s="24" t="s">
        <v>116</v>
      </c>
      <c r="E12" s="21" t="s">
        <v>48</v>
      </c>
      <c r="F12" s="21" t="s">
        <v>117</v>
      </c>
      <c r="G12" s="21" t="s">
        <v>118</v>
      </c>
      <c r="H12" s="21" t="s">
        <v>38</v>
      </c>
      <c r="I12" s="21" t="s">
        <v>26</v>
      </c>
      <c r="J12" s="21" t="s">
        <v>119</v>
      </c>
      <c r="K12" s="21" t="s">
        <v>120</v>
      </c>
      <c r="L12" s="20">
        <v>68025</v>
      </c>
      <c r="M12" s="21" t="s">
        <v>87</v>
      </c>
      <c r="N12" s="21" t="s">
        <v>121</v>
      </c>
      <c r="O12" s="21" t="s">
        <v>43</v>
      </c>
      <c r="P12" s="21" t="s">
        <v>113</v>
      </c>
      <c r="Q12" s="21" t="s">
        <v>122</v>
      </c>
      <c r="R12" s="28">
        <v>19.46</v>
      </c>
      <c r="S12" s="20">
        <v>7</v>
      </c>
      <c r="T12" s="29">
        <v>0</v>
      </c>
      <c r="U12" s="30">
        <v>5.0596</v>
      </c>
    </row>
    <row r="13" ht="45.75" spans="1:21">
      <c r="A13" s="20">
        <v>24</v>
      </c>
      <c r="B13" s="21" t="s">
        <v>123</v>
      </c>
      <c r="C13" s="24">
        <v>41539</v>
      </c>
      <c r="D13" s="24" t="s">
        <v>124</v>
      </c>
      <c r="E13" s="21" t="s">
        <v>22</v>
      </c>
      <c r="F13" s="21" t="s">
        <v>125</v>
      </c>
      <c r="G13" s="21" t="s">
        <v>126</v>
      </c>
      <c r="H13" s="21" t="s">
        <v>25</v>
      </c>
      <c r="I13" s="21" t="s">
        <v>26</v>
      </c>
      <c r="J13" s="21" t="s">
        <v>127</v>
      </c>
      <c r="K13" s="21" t="s">
        <v>128</v>
      </c>
      <c r="L13" s="20">
        <v>19140</v>
      </c>
      <c r="M13" s="21" t="s">
        <v>129</v>
      </c>
      <c r="N13" s="21" t="s">
        <v>130</v>
      </c>
      <c r="O13" s="21" t="s">
        <v>31</v>
      </c>
      <c r="P13" s="21" t="s">
        <v>131</v>
      </c>
      <c r="Q13" s="21" t="s">
        <v>132</v>
      </c>
      <c r="R13" s="28">
        <v>71.372</v>
      </c>
      <c r="S13" s="20">
        <v>2</v>
      </c>
      <c r="T13" s="29">
        <v>0.3</v>
      </c>
      <c r="U13" s="30">
        <v>-1.0196</v>
      </c>
    </row>
    <row r="14" ht="75.75" spans="1:21">
      <c r="A14" s="20">
        <v>25</v>
      </c>
      <c r="B14" s="21" t="s">
        <v>133</v>
      </c>
      <c r="C14" s="24">
        <v>41540</v>
      </c>
      <c r="D14" s="24" t="s">
        <v>134</v>
      </c>
      <c r="E14" s="21" t="s">
        <v>48</v>
      </c>
      <c r="F14" s="21" t="s">
        <v>135</v>
      </c>
      <c r="G14" s="21" t="s">
        <v>136</v>
      </c>
      <c r="H14" s="21" t="s">
        <v>25</v>
      </c>
      <c r="I14" s="21" t="s">
        <v>26</v>
      </c>
      <c r="J14" s="21" t="s">
        <v>137</v>
      </c>
      <c r="K14" s="21" t="s">
        <v>105</v>
      </c>
      <c r="L14" s="20">
        <v>84057</v>
      </c>
      <c r="M14" s="21" t="s">
        <v>41</v>
      </c>
      <c r="N14" s="21" t="s">
        <v>138</v>
      </c>
      <c r="O14" s="21" t="s">
        <v>31</v>
      </c>
      <c r="P14" s="21" t="s">
        <v>54</v>
      </c>
      <c r="Q14" s="21" t="s">
        <v>55</v>
      </c>
      <c r="R14" s="28">
        <v>1044.63</v>
      </c>
      <c r="S14" s="20">
        <v>3</v>
      </c>
      <c r="T14" s="29">
        <v>0</v>
      </c>
      <c r="U14" s="30">
        <v>240.2649</v>
      </c>
    </row>
    <row r="15" ht="45.75" spans="1:21">
      <c r="A15" s="20">
        <v>26</v>
      </c>
      <c r="B15" s="21" t="s">
        <v>139</v>
      </c>
      <c r="C15" s="24">
        <v>41541</v>
      </c>
      <c r="D15" s="24" t="s">
        <v>140</v>
      </c>
      <c r="E15" s="21" t="s">
        <v>22</v>
      </c>
      <c r="F15" s="21" t="s">
        <v>141</v>
      </c>
      <c r="G15" s="21" t="s">
        <v>142</v>
      </c>
      <c r="H15" s="21" t="s">
        <v>25</v>
      </c>
      <c r="I15" s="21" t="s">
        <v>26</v>
      </c>
      <c r="J15" s="21" t="s">
        <v>39</v>
      </c>
      <c r="K15" s="21" t="s">
        <v>40</v>
      </c>
      <c r="L15" s="20">
        <v>90049</v>
      </c>
      <c r="M15" s="21" t="s">
        <v>41</v>
      </c>
      <c r="N15" s="21" t="s">
        <v>143</v>
      </c>
      <c r="O15" s="21" t="s">
        <v>43</v>
      </c>
      <c r="P15" s="21" t="s">
        <v>78</v>
      </c>
      <c r="Q15" s="21" t="s">
        <v>144</v>
      </c>
      <c r="R15" s="28">
        <v>11.648</v>
      </c>
      <c r="S15" s="20">
        <v>2</v>
      </c>
      <c r="T15" s="29">
        <v>0.2</v>
      </c>
      <c r="U15" s="30">
        <v>4.2224</v>
      </c>
    </row>
    <row r="16" ht="90.75" spans="1:21">
      <c r="A16" s="20">
        <v>28</v>
      </c>
      <c r="B16" s="21" t="s">
        <v>145</v>
      </c>
      <c r="C16" s="24">
        <v>41542</v>
      </c>
      <c r="D16" s="24" t="s">
        <v>146</v>
      </c>
      <c r="E16" s="21" t="s">
        <v>48</v>
      </c>
      <c r="F16" s="21" t="s">
        <v>147</v>
      </c>
      <c r="G16" s="21" t="s">
        <v>148</v>
      </c>
      <c r="H16" s="21" t="s">
        <v>25</v>
      </c>
      <c r="I16" s="21" t="s">
        <v>26</v>
      </c>
      <c r="J16" s="21" t="s">
        <v>127</v>
      </c>
      <c r="K16" s="21" t="s">
        <v>128</v>
      </c>
      <c r="L16" s="20">
        <v>19140</v>
      </c>
      <c r="M16" s="21" t="s">
        <v>129</v>
      </c>
      <c r="N16" s="21" t="s">
        <v>149</v>
      </c>
      <c r="O16" s="21" t="s">
        <v>31</v>
      </c>
      <c r="P16" s="21" t="s">
        <v>32</v>
      </c>
      <c r="Q16" s="21" t="s">
        <v>150</v>
      </c>
      <c r="R16" s="28">
        <v>3083.43</v>
      </c>
      <c r="S16" s="20">
        <v>7</v>
      </c>
      <c r="T16" s="29">
        <v>0.5</v>
      </c>
      <c r="U16" s="30">
        <v>-1665.0522</v>
      </c>
    </row>
    <row r="17" ht="30.75" spans="1:21">
      <c r="A17" s="20">
        <v>35</v>
      </c>
      <c r="B17" s="21" t="s">
        <v>151</v>
      </c>
      <c r="C17" s="24">
        <v>41543</v>
      </c>
      <c r="D17" s="24" t="s">
        <v>152</v>
      </c>
      <c r="E17" s="21" t="s">
        <v>22</v>
      </c>
      <c r="F17" s="21" t="s">
        <v>153</v>
      </c>
      <c r="G17" s="21" t="s">
        <v>154</v>
      </c>
      <c r="H17" s="21" t="s">
        <v>84</v>
      </c>
      <c r="I17" s="21" t="s">
        <v>26</v>
      </c>
      <c r="J17" s="21" t="s">
        <v>155</v>
      </c>
      <c r="K17" s="21" t="s">
        <v>86</v>
      </c>
      <c r="L17" s="20">
        <v>77095</v>
      </c>
      <c r="M17" s="21" t="s">
        <v>87</v>
      </c>
      <c r="N17" s="21" t="s">
        <v>156</v>
      </c>
      <c r="O17" s="21" t="s">
        <v>43</v>
      </c>
      <c r="P17" s="21" t="s">
        <v>70</v>
      </c>
      <c r="Q17" s="21" t="s">
        <v>157</v>
      </c>
      <c r="R17" s="28">
        <v>29.472</v>
      </c>
      <c r="S17" s="20">
        <v>3</v>
      </c>
      <c r="T17" s="29">
        <v>0.2</v>
      </c>
      <c r="U17" s="30">
        <v>9.9468</v>
      </c>
    </row>
    <row r="18" ht="30.75" spans="1:21">
      <c r="A18" s="20">
        <v>36</v>
      </c>
      <c r="B18" s="21" t="s">
        <v>158</v>
      </c>
      <c r="C18" s="24">
        <v>41544</v>
      </c>
      <c r="D18" s="24">
        <v>41590</v>
      </c>
      <c r="E18" s="21" t="s">
        <v>159</v>
      </c>
      <c r="F18" s="21" t="s">
        <v>160</v>
      </c>
      <c r="G18" s="21" t="s">
        <v>161</v>
      </c>
      <c r="H18" s="21" t="s">
        <v>38</v>
      </c>
      <c r="I18" s="21" t="s">
        <v>26</v>
      </c>
      <c r="J18" s="21" t="s">
        <v>162</v>
      </c>
      <c r="K18" s="21" t="s">
        <v>86</v>
      </c>
      <c r="L18" s="20">
        <v>75080</v>
      </c>
      <c r="M18" s="21" t="s">
        <v>87</v>
      </c>
      <c r="N18" s="21" t="s">
        <v>163</v>
      </c>
      <c r="O18" s="21" t="s">
        <v>164</v>
      </c>
      <c r="P18" s="21" t="s">
        <v>165</v>
      </c>
      <c r="Q18" s="21" t="s">
        <v>166</v>
      </c>
      <c r="R18" s="28">
        <v>1097.544</v>
      </c>
      <c r="S18" s="20">
        <v>7</v>
      </c>
      <c r="T18" s="29">
        <v>0.2</v>
      </c>
      <c r="U18" s="30">
        <v>123.4737</v>
      </c>
    </row>
    <row r="19" ht="60.75" spans="1:21">
      <c r="A19" s="20">
        <v>38</v>
      </c>
      <c r="B19" s="21" t="s">
        <v>167</v>
      </c>
      <c r="C19" s="24">
        <v>41545</v>
      </c>
      <c r="D19" s="24" t="s">
        <v>168</v>
      </c>
      <c r="E19" s="21" t="s">
        <v>48</v>
      </c>
      <c r="F19" s="21" t="s">
        <v>169</v>
      </c>
      <c r="G19" s="21" t="s">
        <v>170</v>
      </c>
      <c r="H19" s="21" t="s">
        <v>84</v>
      </c>
      <c r="I19" s="21" t="s">
        <v>26</v>
      </c>
      <c r="J19" s="21" t="s">
        <v>155</v>
      </c>
      <c r="K19" s="21" t="s">
        <v>86</v>
      </c>
      <c r="L19" s="20">
        <v>77041</v>
      </c>
      <c r="M19" s="21" t="s">
        <v>87</v>
      </c>
      <c r="N19" s="21" t="s">
        <v>171</v>
      </c>
      <c r="O19" s="21" t="s">
        <v>43</v>
      </c>
      <c r="P19" s="21" t="s">
        <v>172</v>
      </c>
      <c r="Q19" s="21" t="s">
        <v>173</v>
      </c>
      <c r="R19" s="28">
        <v>113.328</v>
      </c>
      <c r="S19" s="20">
        <v>9</v>
      </c>
      <c r="T19" s="29">
        <v>0.2</v>
      </c>
      <c r="U19" s="30">
        <v>35.415</v>
      </c>
    </row>
    <row r="20" ht="30.75" spans="1:21">
      <c r="A20" s="20">
        <v>42</v>
      </c>
      <c r="B20" s="21" t="s">
        <v>174</v>
      </c>
      <c r="C20" s="24">
        <v>41546</v>
      </c>
      <c r="D20" s="24" t="s">
        <v>175</v>
      </c>
      <c r="E20" s="21" t="s">
        <v>48</v>
      </c>
      <c r="F20" s="21" t="s">
        <v>176</v>
      </c>
      <c r="G20" s="21" t="s">
        <v>177</v>
      </c>
      <c r="H20" s="21" t="s">
        <v>38</v>
      </c>
      <c r="I20" s="21" t="s">
        <v>26</v>
      </c>
      <c r="J20" s="21" t="s">
        <v>178</v>
      </c>
      <c r="K20" s="21" t="s">
        <v>179</v>
      </c>
      <c r="L20" s="20">
        <v>60540</v>
      </c>
      <c r="M20" s="21" t="s">
        <v>87</v>
      </c>
      <c r="N20" s="21" t="s">
        <v>180</v>
      </c>
      <c r="O20" s="21" t="s">
        <v>164</v>
      </c>
      <c r="P20" s="21" t="s">
        <v>165</v>
      </c>
      <c r="Q20" s="21" t="s">
        <v>181</v>
      </c>
      <c r="R20" s="28">
        <v>147.168</v>
      </c>
      <c r="S20" s="20">
        <v>4</v>
      </c>
      <c r="T20" s="29">
        <v>0.2</v>
      </c>
      <c r="U20" s="30">
        <v>16.5564</v>
      </c>
    </row>
    <row r="21" ht="60.75" spans="1:21">
      <c r="A21" s="20">
        <v>43</v>
      </c>
      <c r="B21" s="21" t="s">
        <v>182</v>
      </c>
      <c r="C21" s="24">
        <v>41547</v>
      </c>
      <c r="D21" s="24" t="s">
        <v>183</v>
      </c>
      <c r="E21" s="21" t="s">
        <v>48</v>
      </c>
      <c r="F21" s="21" t="s">
        <v>184</v>
      </c>
      <c r="G21" s="21" t="s">
        <v>185</v>
      </c>
      <c r="H21" s="21" t="s">
        <v>38</v>
      </c>
      <c r="I21" s="21" t="s">
        <v>26</v>
      </c>
      <c r="J21" s="21" t="s">
        <v>39</v>
      </c>
      <c r="K21" s="21" t="s">
        <v>40</v>
      </c>
      <c r="L21" s="20">
        <v>90049</v>
      </c>
      <c r="M21" s="21" t="s">
        <v>41</v>
      </c>
      <c r="N21" s="21" t="s">
        <v>186</v>
      </c>
      <c r="O21" s="21" t="s">
        <v>43</v>
      </c>
      <c r="P21" s="21" t="s">
        <v>98</v>
      </c>
      <c r="Q21" s="21" t="s">
        <v>187</v>
      </c>
      <c r="R21" s="28">
        <v>77.88</v>
      </c>
      <c r="S21" s="20">
        <v>2</v>
      </c>
      <c r="T21" s="29">
        <v>0</v>
      </c>
      <c r="U21" s="30">
        <v>3.894</v>
      </c>
    </row>
    <row r="22" ht="105.75" spans="1:21">
      <c r="A22" s="20">
        <v>44</v>
      </c>
      <c r="B22" s="21" t="s">
        <v>188</v>
      </c>
      <c r="C22" s="24">
        <v>41548</v>
      </c>
      <c r="D22" s="24" t="s">
        <v>189</v>
      </c>
      <c r="E22" s="21" t="s">
        <v>48</v>
      </c>
      <c r="F22" s="21" t="s">
        <v>190</v>
      </c>
      <c r="G22" s="21" t="s">
        <v>191</v>
      </c>
      <c r="H22" s="21" t="s">
        <v>38</v>
      </c>
      <c r="I22" s="21" t="s">
        <v>26</v>
      </c>
      <c r="J22" s="21" t="s">
        <v>192</v>
      </c>
      <c r="K22" s="21" t="s">
        <v>52</v>
      </c>
      <c r="L22" s="20">
        <v>32935</v>
      </c>
      <c r="M22" s="21" t="s">
        <v>29</v>
      </c>
      <c r="N22" s="21" t="s">
        <v>193</v>
      </c>
      <c r="O22" s="21" t="s">
        <v>43</v>
      </c>
      <c r="P22" s="21" t="s">
        <v>98</v>
      </c>
      <c r="Q22" s="21" t="s">
        <v>194</v>
      </c>
      <c r="R22" s="28">
        <v>95.616</v>
      </c>
      <c r="S22" s="20">
        <v>2</v>
      </c>
      <c r="T22" s="29">
        <v>0.2</v>
      </c>
      <c r="U22" s="30">
        <v>9.5616</v>
      </c>
    </row>
    <row r="23" ht="75.75" spans="1:21">
      <c r="A23" s="20">
        <v>45</v>
      </c>
      <c r="B23" s="21" t="s">
        <v>195</v>
      </c>
      <c r="C23" s="24">
        <v>41549</v>
      </c>
      <c r="D23" s="24" t="s">
        <v>196</v>
      </c>
      <c r="E23" s="21" t="s">
        <v>159</v>
      </c>
      <c r="F23" s="21" t="s">
        <v>197</v>
      </c>
      <c r="G23" s="21" t="s">
        <v>198</v>
      </c>
      <c r="H23" s="21" t="s">
        <v>38</v>
      </c>
      <c r="I23" s="21" t="s">
        <v>26</v>
      </c>
      <c r="J23" s="21" t="s">
        <v>199</v>
      </c>
      <c r="K23" s="21" t="s">
        <v>200</v>
      </c>
      <c r="L23" s="20">
        <v>55122</v>
      </c>
      <c r="M23" s="21" t="s">
        <v>87</v>
      </c>
      <c r="N23" s="21" t="s">
        <v>201</v>
      </c>
      <c r="O23" s="21" t="s">
        <v>164</v>
      </c>
      <c r="P23" s="21" t="s">
        <v>202</v>
      </c>
      <c r="Q23" s="21" t="s">
        <v>203</v>
      </c>
      <c r="R23" s="28">
        <v>45.98</v>
      </c>
      <c r="S23" s="20">
        <v>2</v>
      </c>
      <c r="T23" s="29">
        <v>0</v>
      </c>
      <c r="U23" s="30">
        <v>19.7714</v>
      </c>
    </row>
    <row r="24" ht="90.75" spans="1:21">
      <c r="A24" s="20">
        <v>47</v>
      </c>
      <c r="B24" s="21" t="s">
        <v>204</v>
      </c>
      <c r="C24" s="24">
        <v>41550</v>
      </c>
      <c r="D24" s="24" t="s">
        <v>205</v>
      </c>
      <c r="E24" s="21" t="s">
        <v>22</v>
      </c>
      <c r="F24" s="21" t="s">
        <v>206</v>
      </c>
      <c r="G24" s="21" t="s">
        <v>207</v>
      </c>
      <c r="H24" s="21" t="s">
        <v>25</v>
      </c>
      <c r="I24" s="21" t="s">
        <v>26</v>
      </c>
      <c r="J24" s="21" t="s">
        <v>208</v>
      </c>
      <c r="K24" s="21" t="s">
        <v>209</v>
      </c>
      <c r="L24" s="20">
        <v>48185</v>
      </c>
      <c r="M24" s="21" t="s">
        <v>87</v>
      </c>
      <c r="N24" s="21" t="s">
        <v>210</v>
      </c>
      <c r="O24" s="21" t="s">
        <v>43</v>
      </c>
      <c r="P24" s="21" t="s">
        <v>98</v>
      </c>
      <c r="Q24" s="21" t="s">
        <v>211</v>
      </c>
      <c r="R24" s="28">
        <v>211.96</v>
      </c>
      <c r="S24" s="20">
        <v>4</v>
      </c>
      <c r="T24" s="29">
        <v>0</v>
      </c>
      <c r="U24" s="30">
        <v>8.4784</v>
      </c>
    </row>
    <row r="25" ht="75.75" spans="1:21">
      <c r="A25" s="20">
        <v>48</v>
      </c>
      <c r="B25" s="21" t="s">
        <v>212</v>
      </c>
      <c r="C25" s="24">
        <v>41551</v>
      </c>
      <c r="D25" s="24" t="s">
        <v>213</v>
      </c>
      <c r="E25" s="21" t="s">
        <v>48</v>
      </c>
      <c r="F25" s="21" t="s">
        <v>214</v>
      </c>
      <c r="G25" s="21" t="s">
        <v>215</v>
      </c>
      <c r="H25" s="21" t="s">
        <v>25</v>
      </c>
      <c r="I25" s="21" t="s">
        <v>26</v>
      </c>
      <c r="J25" s="21" t="s">
        <v>216</v>
      </c>
      <c r="K25" s="21" t="s">
        <v>217</v>
      </c>
      <c r="L25" s="20">
        <v>19901</v>
      </c>
      <c r="M25" s="21" t="s">
        <v>129</v>
      </c>
      <c r="N25" s="21" t="s">
        <v>218</v>
      </c>
      <c r="O25" s="21" t="s">
        <v>164</v>
      </c>
      <c r="P25" s="21" t="s">
        <v>202</v>
      </c>
      <c r="Q25" s="21" t="s">
        <v>219</v>
      </c>
      <c r="R25" s="28">
        <v>45</v>
      </c>
      <c r="S25" s="20">
        <v>3</v>
      </c>
      <c r="T25" s="29">
        <v>0</v>
      </c>
      <c r="U25" s="30">
        <v>4.95</v>
      </c>
    </row>
    <row r="26" ht="75.75" spans="1:21">
      <c r="A26" s="20">
        <v>50</v>
      </c>
      <c r="B26" s="21" t="s">
        <v>220</v>
      </c>
      <c r="C26" s="24">
        <v>41552</v>
      </c>
      <c r="D26" s="24" t="s">
        <v>221</v>
      </c>
      <c r="E26" s="21" t="s">
        <v>48</v>
      </c>
      <c r="F26" s="21" t="s">
        <v>222</v>
      </c>
      <c r="G26" s="21" t="s">
        <v>223</v>
      </c>
      <c r="H26" s="21" t="s">
        <v>25</v>
      </c>
      <c r="I26" s="21" t="s">
        <v>26</v>
      </c>
      <c r="J26" s="21" t="s">
        <v>224</v>
      </c>
      <c r="K26" s="21" t="s">
        <v>225</v>
      </c>
      <c r="L26" s="20">
        <v>47150</v>
      </c>
      <c r="M26" s="21" t="s">
        <v>87</v>
      </c>
      <c r="N26" s="21" t="s">
        <v>226</v>
      </c>
      <c r="O26" s="21" t="s">
        <v>43</v>
      </c>
      <c r="P26" s="21" t="s">
        <v>78</v>
      </c>
      <c r="Q26" s="21" t="s">
        <v>227</v>
      </c>
      <c r="R26" s="28">
        <v>38.22</v>
      </c>
      <c r="S26" s="20">
        <v>6</v>
      </c>
      <c r="T26" s="29">
        <v>0</v>
      </c>
      <c r="U26" s="30">
        <v>17.9634</v>
      </c>
    </row>
    <row r="27" ht="30.75" spans="1:21">
      <c r="A27" s="20">
        <v>54</v>
      </c>
      <c r="B27" s="21" t="s">
        <v>228</v>
      </c>
      <c r="C27" s="24">
        <v>41553</v>
      </c>
      <c r="D27" s="24" t="s">
        <v>229</v>
      </c>
      <c r="E27" s="21" t="s">
        <v>48</v>
      </c>
      <c r="F27" s="21" t="s">
        <v>230</v>
      </c>
      <c r="G27" s="21" t="s">
        <v>231</v>
      </c>
      <c r="H27" s="21" t="s">
        <v>38</v>
      </c>
      <c r="I27" s="21" t="s">
        <v>26</v>
      </c>
      <c r="J27" s="21" t="s">
        <v>232</v>
      </c>
      <c r="K27" s="21" t="s">
        <v>233</v>
      </c>
      <c r="L27" s="20">
        <v>10024</v>
      </c>
      <c r="M27" s="21" t="s">
        <v>129</v>
      </c>
      <c r="N27" s="21" t="s">
        <v>234</v>
      </c>
      <c r="O27" s="21" t="s">
        <v>43</v>
      </c>
      <c r="P27" s="21" t="s">
        <v>235</v>
      </c>
      <c r="Q27" s="21" t="s">
        <v>236</v>
      </c>
      <c r="R27" s="28">
        <v>15.26</v>
      </c>
      <c r="S27" s="20">
        <v>7</v>
      </c>
      <c r="T27" s="29">
        <v>0</v>
      </c>
      <c r="U27" s="30">
        <v>6.2566</v>
      </c>
    </row>
    <row r="28" ht="45.75" spans="1:21">
      <c r="A28" s="20">
        <v>56</v>
      </c>
      <c r="B28" s="21" t="s">
        <v>237</v>
      </c>
      <c r="C28" s="24">
        <v>41554</v>
      </c>
      <c r="D28" s="24" t="s">
        <v>238</v>
      </c>
      <c r="E28" s="21" t="s">
        <v>159</v>
      </c>
      <c r="F28" s="21" t="s">
        <v>239</v>
      </c>
      <c r="G28" s="21" t="s">
        <v>240</v>
      </c>
      <c r="H28" s="21" t="s">
        <v>25</v>
      </c>
      <c r="I28" s="21" t="s">
        <v>26</v>
      </c>
      <c r="J28" s="21" t="s">
        <v>241</v>
      </c>
      <c r="K28" s="21" t="s">
        <v>233</v>
      </c>
      <c r="L28" s="20">
        <v>12180</v>
      </c>
      <c r="M28" s="21" t="s">
        <v>129</v>
      </c>
      <c r="N28" s="21" t="s">
        <v>242</v>
      </c>
      <c r="O28" s="21" t="s">
        <v>43</v>
      </c>
      <c r="P28" s="21" t="s">
        <v>98</v>
      </c>
      <c r="Q28" s="21" t="s">
        <v>243</v>
      </c>
      <c r="R28" s="28">
        <v>208.56</v>
      </c>
      <c r="S28" s="20">
        <v>6</v>
      </c>
      <c r="T28" s="29">
        <v>0</v>
      </c>
      <c r="U28" s="30">
        <v>52.14</v>
      </c>
    </row>
    <row r="29" ht="75.75" spans="1:21">
      <c r="A29" s="20">
        <v>63</v>
      </c>
      <c r="B29" s="21" t="s">
        <v>244</v>
      </c>
      <c r="C29" s="24">
        <v>41555</v>
      </c>
      <c r="D29" s="24" t="s">
        <v>245</v>
      </c>
      <c r="E29" s="21" t="s">
        <v>48</v>
      </c>
      <c r="F29" s="21" t="s">
        <v>246</v>
      </c>
      <c r="G29" s="21" t="s">
        <v>247</v>
      </c>
      <c r="H29" s="21" t="s">
        <v>25</v>
      </c>
      <c r="I29" s="21" t="s">
        <v>26</v>
      </c>
      <c r="J29" s="21" t="s">
        <v>39</v>
      </c>
      <c r="K29" s="21" t="s">
        <v>40</v>
      </c>
      <c r="L29" s="20">
        <v>90004</v>
      </c>
      <c r="M29" s="21" t="s">
        <v>41</v>
      </c>
      <c r="N29" s="21" t="s">
        <v>248</v>
      </c>
      <c r="O29" s="21" t="s">
        <v>164</v>
      </c>
      <c r="P29" s="21" t="s">
        <v>202</v>
      </c>
      <c r="Q29" s="21" t="s">
        <v>249</v>
      </c>
      <c r="R29" s="28">
        <v>13.98</v>
      </c>
      <c r="S29" s="20">
        <v>2</v>
      </c>
      <c r="T29" s="29">
        <v>0</v>
      </c>
      <c r="U29" s="30">
        <v>6.1512</v>
      </c>
    </row>
    <row r="30" ht="60.75" spans="1:21">
      <c r="A30" s="20">
        <v>67</v>
      </c>
      <c r="B30" s="21" t="s">
        <v>250</v>
      </c>
      <c r="C30" s="24">
        <v>41556</v>
      </c>
      <c r="D30" s="24">
        <v>41034</v>
      </c>
      <c r="E30" s="21" t="s">
        <v>48</v>
      </c>
      <c r="F30" s="21" t="s">
        <v>251</v>
      </c>
      <c r="G30" s="21" t="s">
        <v>252</v>
      </c>
      <c r="H30" s="21" t="s">
        <v>84</v>
      </c>
      <c r="I30" s="21" t="s">
        <v>26</v>
      </c>
      <c r="J30" s="21" t="s">
        <v>253</v>
      </c>
      <c r="K30" s="21" t="s">
        <v>179</v>
      </c>
      <c r="L30" s="20">
        <v>60610</v>
      </c>
      <c r="M30" s="21" t="s">
        <v>87</v>
      </c>
      <c r="N30" s="21" t="s">
        <v>254</v>
      </c>
      <c r="O30" s="21" t="s">
        <v>31</v>
      </c>
      <c r="P30" s="21" t="s">
        <v>131</v>
      </c>
      <c r="Q30" s="21" t="s">
        <v>255</v>
      </c>
      <c r="R30" s="28">
        <v>213.115</v>
      </c>
      <c r="S30" s="20">
        <v>5</v>
      </c>
      <c r="T30" s="29">
        <v>0.3</v>
      </c>
      <c r="U30" s="30">
        <v>-15.2225</v>
      </c>
    </row>
    <row r="31" ht="90.75" spans="1:21">
      <c r="A31" s="20">
        <v>68</v>
      </c>
      <c r="B31" s="21" t="s">
        <v>256</v>
      </c>
      <c r="C31" s="24">
        <v>41557</v>
      </c>
      <c r="D31" s="24">
        <v>40828</v>
      </c>
      <c r="E31" s="21" t="s">
        <v>48</v>
      </c>
      <c r="F31" s="21" t="s">
        <v>257</v>
      </c>
      <c r="G31" s="21" t="s">
        <v>258</v>
      </c>
      <c r="H31" s="21" t="s">
        <v>38</v>
      </c>
      <c r="I31" s="21" t="s">
        <v>26</v>
      </c>
      <c r="J31" s="21" t="s">
        <v>259</v>
      </c>
      <c r="K31" s="21" t="s">
        <v>260</v>
      </c>
      <c r="L31" s="20">
        <v>85234</v>
      </c>
      <c r="M31" s="21" t="s">
        <v>41</v>
      </c>
      <c r="N31" s="21" t="s">
        <v>261</v>
      </c>
      <c r="O31" s="21" t="s">
        <v>43</v>
      </c>
      <c r="P31" s="21" t="s">
        <v>113</v>
      </c>
      <c r="Q31" s="21" t="s">
        <v>262</v>
      </c>
      <c r="R31" s="28">
        <v>1113.024</v>
      </c>
      <c r="S31" s="20">
        <v>8</v>
      </c>
      <c r="T31" s="29">
        <v>0.2</v>
      </c>
      <c r="U31" s="30">
        <v>111.3024</v>
      </c>
    </row>
    <row r="32" ht="90.75" spans="1:21">
      <c r="A32" s="20">
        <v>70</v>
      </c>
      <c r="B32" s="21" t="s">
        <v>263</v>
      </c>
      <c r="C32" s="24">
        <v>41558</v>
      </c>
      <c r="D32" s="24">
        <v>41461</v>
      </c>
      <c r="E32" s="21" t="s">
        <v>159</v>
      </c>
      <c r="F32" s="21" t="s">
        <v>264</v>
      </c>
      <c r="G32" s="21" t="s">
        <v>265</v>
      </c>
      <c r="H32" s="21" t="s">
        <v>25</v>
      </c>
      <c r="I32" s="21" t="s">
        <v>26</v>
      </c>
      <c r="J32" s="21" t="s">
        <v>266</v>
      </c>
      <c r="K32" s="21" t="s">
        <v>267</v>
      </c>
      <c r="L32" s="20">
        <v>22153</v>
      </c>
      <c r="M32" s="21" t="s">
        <v>29</v>
      </c>
      <c r="N32" s="21" t="s">
        <v>268</v>
      </c>
      <c r="O32" s="21" t="s">
        <v>43</v>
      </c>
      <c r="P32" s="21" t="s">
        <v>70</v>
      </c>
      <c r="Q32" s="21" t="s">
        <v>269</v>
      </c>
      <c r="R32" s="28">
        <v>75.88</v>
      </c>
      <c r="S32" s="20">
        <v>2</v>
      </c>
      <c r="T32" s="29">
        <v>0</v>
      </c>
      <c r="U32" s="30">
        <v>35.6636</v>
      </c>
    </row>
    <row r="33" ht="90.75" spans="1:21">
      <c r="A33" s="20">
        <v>71</v>
      </c>
      <c r="B33" s="21" t="s">
        <v>270</v>
      </c>
      <c r="C33" s="24">
        <v>41559</v>
      </c>
      <c r="D33" s="24" t="s">
        <v>271</v>
      </c>
      <c r="E33" s="21" t="s">
        <v>48</v>
      </c>
      <c r="F33" s="21" t="s">
        <v>272</v>
      </c>
      <c r="G33" s="21" t="s">
        <v>273</v>
      </c>
      <c r="H33" s="21" t="s">
        <v>25</v>
      </c>
      <c r="I33" s="21" t="s">
        <v>26</v>
      </c>
      <c r="J33" s="21" t="s">
        <v>232</v>
      </c>
      <c r="K33" s="21" t="s">
        <v>233</v>
      </c>
      <c r="L33" s="20">
        <v>10009</v>
      </c>
      <c r="M33" s="21" t="s">
        <v>129</v>
      </c>
      <c r="N33" s="21" t="s">
        <v>274</v>
      </c>
      <c r="O33" s="21" t="s">
        <v>43</v>
      </c>
      <c r="P33" s="21" t="s">
        <v>78</v>
      </c>
      <c r="Q33" s="21" t="s">
        <v>275</v>
      </c>
      <c r="R33" s="28">
        <v>4.616</v>
      </c>
      <c r="S33" s="20">
        <v>1</v>
      </c>
      <c r="T33" s="29">
        <v>0.2</v>
      </c>
      <c r="U33" s="30">
        <v>1.731</v>
      </c>
    </row>
    <row r="34" ht="90.75" spans="1:21">
      <c r="A34" s="20">
        <v>72</v>
      </c>
      <c r="B34" s="21" t="s">
        <v>276</v>
      </c>
      <c r="C34" s="24">
        <v>41560</v>
      </c>
      <c r="D34" s="24" t="s">
        <v>277</v>
      </c>
      <c r="E34" s="21" t="s">
        <v>22</v>
      </c>
      <c r="F34" s="21" t="s">
        <v>147</v>
      </c>
      <c r="G34" s="21" t="s">
        <v>148</v>
      </c>
      <c r="H34" s="21" t="s">
        <v>25</v>
      </c>
      <c r="I34" s="21" t="s">
        <v>26</v>
      </c>
      <c r="J34" s="21" t="s">
        <v>278</v>
      </c>
      <c r="K34" s="21" t="s">
        <v>209</v>
      </c>
      <c r="L34" s="20">
        <v>49201</v>
      </c>
      <c r="M34" s="21" t="s">
        <v>87</v>
      </c>
      <c r="N34" s="21" t="s">
        <v>279</v>
      </c>
      <c r="O34" s="21" t="s">
        <v>43</v>
      </c>
      <c r="P34" s="21" t="s">
        <v>70</v>
      </c>
      <c r="Q34" s="21" t="s">
        <v>280</v>
      </c>
      <c r="R34" s="28">
        <v>19.05</v>
      </c>
      <c r="S34" s="20">
        <v>3</v>
      </c>
      <c r="T34" s="29">
        <v>0</v>
      </c>
      <c r="U34" s="30">
        <v>8.763</v>
      </c>
    </row>
    <row r="35" ht="60.75" spans="1:21">
      <c r="A35" s="20">
        <v>73</v>
      </c>
      <c r="B35" s="21" t="s">
        <v>281</v>
      </c>
      <c r="C35" s="24">
        <v>41561</v>
      </c>
      <c r="D35" s="24">
        <v>40944</v>
      </c>
      <c r="E35" s="21" t="s">
        <v>48</v>
      </c>
      <c r="F35" s="21" t="s">
        <v>282</v>
      </c>
      <c r="G35" s="21" t="s">
        <v>283</v>
      </c>
      <c r="H35" s="21" t="s">
        <v>25</v>
      </c>
      <c r="I35" s="21" t="s">
        <v>26</v>
      </c>
      <c r="J35" s="21" t="s">
        <v>284</v>
      </c>
      <c r="K35" s="21" t="s">
        <v>285</v>
      </c>
      <c r="L35" s="20">
        <v>38109</v>
      </c>
      <c r="M35" s="21" t="s">
        <v>29</v>
      </c>
      <c r="N35" s="21" t="s">
        <v>286</v>
      </c>
      <c r="O35" s="21" t="s">
        <v>31</v>
      </c>
      <c r="P35" s="21" t="s">
        <v>131</v>
      </c>
      <c r="Q35" s="21" t="s">
        <v>287</v>
      </c>
      <c r="R35" s="28">
        <v>831.936</v>
      </c>
      <c r="S35" s="20">
        <v>8</v>
      </c>
      <c r="T35" s="29">
        <v>0.2</v>
      </c>
      <c r="U35" s="30">
        <v>-114.3912</v>
      </c>
    </row>
    <row r="36" ht="30.75" spans="1:21">
      <c r="A36" s="20">
        <v>76</v>
      </c>
      <c r="B36" s="21" t="s">
        <v>288</v>
      </c>
      <c r="C36" s="24">
        <v>41562</v>
      </c>
      <c r="D36" s="24">
        <v>41985</v>
      </c>
      <c r="E36" s="21" t="s">
        <v>159</v>
      </c>
      <c r="F36" s="21" t="s">
        <v>289</v>
      </c>
      <c r="G36" s="21" t="s">
        <v>290</v>
      </c>
      <c r="H36" s="21" t="s">
        <v>38</v>
      </c>
      <c r="I36" s="21" t="s">
        <v>26</v>
      </c>
      <c r="J36" s="21" t="s">
        <v>155</v>
      </c>
      <c r="K36" s="21" t="s">
        <v>86</v>
      </c>
      <c r="L36" s="20">
        <v>77041</v>
      </c>
      <c r="M36" s="21" t="s">
        <v>87</v>
      </c>
      <c r="N36" s="21" t="s">
        <v>291</v>
      </c>
      <c r="O36" s="21" t="s">
        <v>43</v>
      </c>
      <c r="P36" s="21" t="s">
        <v>78</v>
      </c>
      <c r="Q36" s="21" t="s">
        <v>292</v>
      </c>
      <c r="R36" s="28">
        <v>1.248</v>
      </c>
      <c r="S36" s="20">
        <v>3</v>
      </c>
      <c r="T36" s="29">
        <v>0.8</v>
      </c>
      <c r="U36" s="30">
        <v>-1.9344</v>
      </c>
    </row>
    <row r="37" ht="90.75" spans="1:21">
      <c r="A37" s="20">
        <v>79</v>
      </c>
      <c r="B37" s="21" t="s">
        <v>293</v>
      </c>
      <c r="C37" s="24">
        <v>41563</v>
      </c>
      <c r="D37" s="24">
        <v>40555</v>
      </c>
      <c r="E37" s="21" t="s">
        <v>22</v>
      </c>
      <c r="F37" s="21" t="s">
        <v>282</v>
      </c>
      <c r="G37" s="21" t="s">
        <v>283</v>
      </c>
      <c r="H37" s="21" t="s">
        <v>25</v>
      </c>
      <c r="I37" s="21" t="s">
        <v>26</v>
      </c>
      <c r="J37" s="21" t="s">
        <v>155</v>
      </c>
      <c r="K37" s="21" t="s">
        <v>86</v>
      </c>
      <c r="L37" s="20">
        <v>77070</v>
      </c>
      <c r="M37" s="21" t="s">
        <v>87</v>
      </c>
      <c r="N37" s="21" t="s">
        <v>294</v>
      </c>
      <c r="O37" s="21" t="s">
        <v>31</v>
      </c>
      <c r="P37" s="21" t="s">
        <v>61</v>
      </c>
      <c r="Q37" s="21" t="s">
        <v>295</v>
      </c>
      <c r="R37" s="28">
        <v>19.3</v>
      </c>
      <c r="S37" s="20">
        <v>5</v>
      </c>
      <c r="T37" s="29">
        <v>0.6</v>
      </c>
      <c r="U37" s="30">
        <v>-14.475</v>
      </c>
    </row>
    <row r="38" ht="60.75" spans="1:21">
      <c r="A38" s="20">
        <v>80</v>
      </c>
      <c r="B38" s="21" t="s">
        <v>296</v>
      </c>
      <c r="C38" s="24">
        <v>41564</v>
      </c>
      <c r="D38" s="24" t="s">
        <v>297</v>
      </c>
      <c r="E38" s="21" t="s">
        <v>159</v>
      </c>
      <c r="F38" s="21" t="s">
        <v>298</v>
      </c>
      <c r="G38" s="21" t="s">
        <v>299</v>
      </c>
      <c r="H38" s="21" t="s">
        <v>38</v>
      </c>
      <c r="I38" s="21" t="s">
        <v>26</v>
      </c>
      <c r="J38" s="21" t="s">
        <v>300</v>
      </c>
      <c r="K38" s="21" t="s">
        <v>301</v>
      </c>
      <c r="L38" s="20">
        <v>35601</v>
      </c>
      <c r="M38" s="21" t="s">
        <v>29</v>
      </c>
      <c r="N38" s="21" t="s">
        <v>302</v>
      </c>
      <c r="O38" s="21" t="s">
        <v>43</v>
      </c>
      <c r="P38" s="21" t="s">
        <v>89</v>
      </c>
      <c r="Q38" s="21" t="s">
        <v>303</v>
      </c>
      <c r="R38" s="28">
        <v>208.16</v>
      </c>
      <c r="S38" s="20">
        <v>1</v>
      </c>
      <c r="T38" s="29">
        <v>0</v>
      </c>
      <c r="U38" s="30">
        <v>56.2032</v>
      </c>
    </row>
    <row r="39" ht="90.75" spans="1:21">
      <c r="A39" s="20">
        <v>82</v>
      </c>
      <c r="B39" s="21" t="s">
        <v>304</v>
      </c>
      <c r="C39" s="24">
        <v>41565</v>
      </c>
      <c r="D39" s="24" t="s">
        <v>305</v>
      </c>
      <c r="E39" s="21" t="s">
        <v>48</v>
      </c>
      <c r="F39" s="21" t="s">
        <v>306</v>
      </c>
      <c r="G39" s="21" t="s">
        <v>307</v>
      </c>
      <c r="H39" s="21" t="s">
        <v>25</v>
      </c>
      <c r="I39" s="21" t="s">
        <v>26</v>
      </c>
      <c r="J39" s="21" t="s">
        <v>111</v>
      </c>
      <c r="K39" s="21" t="s">
        <v>40</v>
      </c>
      <c r="L39" s="20">
        <v>94122</v>
      </c>
      <c r="M39" s="21" t="s">
        <v>41</v>
      </c>
      <c r="N39" s="21" t="s">
        <v>308</v>
      </c>
      <c r="O39" s="21" t="s">
        <v>43</v>
      </c>
      <c r="P39" s="21" t="s">
        <v>113</v>
      </c>
      <c r="Q39" s="21" t="s">
        <v>309</v>
      </c>
      <c r="R39" s="28">
        <v>14.9</v>
      </c>
      <c r="S39" s="20">
        <v>5</v>
      </c>
      <c r="T39" s="29">
        <v>0</v>
      </c>
      <c r="U39" s="30">
        <v>4.172</v>
      </c>
    </row>
    <row r="40" ht="75.75" spans="1:21">
      <c r="A40" s="20">
        <v>84</v>
      </c>
      <c r="B40" s="21" t="s">
        <v>310</v>
      </c>
      <c r="C40" s="24">
        <v>41566</v>
      </c>
      <c r="D40" s="24">
        <v>41130</v>
      </c>
      <c r="E40" s="21" t="s">
        <v>48</v>
      </c>
      <c r="F40" s="21" t="s">
        <v>311</v>
      </c>
      <c r="G40" s="21" t="s">
        <v>312</v>
      </c>
      <c r="H40" s="21" t="s">
        <v>38</v>
      </c>
      <c r="I40" s="21" t="s">
        <v>26</v>
      </c>
      <c r="J40" s="21" t="s">
        <v>313</v>
      </c>
      <c r="K40" s="21" t="s">
        <v>68</v>
      </c>
      <c r="L40" s="20">
        <v>27707</v>
      </c>
      <c r="M40" s="21" t="s">
        <v>29</v>
      </c>
      <c r="N40" s="21" t="s">
        <v>314</v>
      </c>
      <c r="O40" s="21" t="s">
        <v>43</v>
      </c>
      <c r="P40" s="21" t="s">
        <v>172</v>
      </c>
      <c r="Q40" s="21" t="s">
        <v>315</v>
      </c>
      <c r="R40" s="28">
        <v>200.984</v>
      </c>
      <c r="S40" s="20">
        <v>7</v>
      </c>
      <c r="T40" s="29">
        <v>0.2</v>
      </c>
      <c r="U40" s="30">
        <v>62.8075</v>
      </c>
    </row>
    <row r="41" ht="45.75" spans="1:21">
      <c r="A41" s="20">
        <v>85</v>
      </c>
      <c r="B41" s="21" t="s">
        <v>316</v>
      </c>
      <c r="C41" s="24">
        <v>41567</v>
      </c>
      <c r="D41" s="24" t="s">
        <v>317</v>
      </c>
      <c r="E41" s="21" t="s">
        <v>159</v>
      </c>
      <c r="F41" s="21" t="s">
        <v>318</v>
      </c>
      <c r="G41" s="21" t="s">
        <v>319</v>
      </c>
      <c r="H41" s="21" t="s">
        <v>84</v>
      </c>
      <c r="I41" s="21" t="s">
        <v>26</v>
      </c>
      <c r="J41" s="21" t="s">
        <v>253</v>
      </c>
      <c r="K41" s="21" t="s">
        <v>179</v>
      </c>
      <c r="L41" s="20">
        <v>60623</v>
      </c>
      <c r="M41" s="21" t="s">
        <v>87</v>
      </c>
      <c r="N41" s="21" t="s">
        <v>320</v>
      </c>
      <c r="O41" s="21" t="s">
        <v>43</v>
      </c>
      <c r="P41" s="21" t="s">
        <v>98</v>
      </c>
      <c r="Q41" s="21" t="s">
        <v>321</v>
      </c>
      <c r="R41" s="28">
        <v>230.376</v>
      </c>
      <c r="S41" s="20">
        <v>3</v>
      </c>
      <c r="T41" s="29">
        <v>0.2</v>
      </c>
      <c r="U41" s="30">
        <v>-48.9549</v>
      </c>
    </row>
    <row r="42" ht="45.75" spans="1:21">
      <c r="A42" s="20">
        <v>86</v>
      </c>
      <c r="B42" s="21" t="s">
        <v>322</v>
      </c>
      <c r="C42" s="24">
        <v>41568</v>
      </c>
      <c r="D42" s="24" t="s">
        <v>323</v>
      </c>
      <c r="E42" s="21" t="s">
        <v>22</v>
      </c>
      <c r="F42" s="21" t="s">
        <v>206</v>
      </c>
      <c r="G42" s="21" t="s">
        <v>207</v>
      </c>
      <c r="H42" s="21" t="s">
        <v>25</v>
      </c>
      <c r="I42" s="21" t="s">
        <v>26</v>
      </c>
      <c r="J42" s="21" t="s">
        <v>324</v>
      </c>
      <c r="K42" s="21" t="s">
        <v>325</v>
      </c>
      <c r="L42" s="20">
        <v>29203</v>
      </c>
      <c r="M42" s="21" t="s">
        <v>29</v>
      </c>
      <c r="N42" s="21" t="s">
        <v>326</v>
      </c>
      <c r="O42" s="21" t="s">
        <v>31</v>
      </c>
      <c r="P42" s="21" t="s">
        <v>131</v>
      </c>
      <c r="Q42" s="21" t="s">
        <v>327</v>
      </c>
      <c r="R42" s="28">
        <v>301.96</v>
      </c>
      <c r="S42" s="20">
        <v>2</v>
      </c>
      <c r="T42" s="29">
        <v>0</v>
      </c>
      <c r="U42" s="30">
        <v>33.2156</v>
      </c>
    </row>
    <row r="43" ht="75.75" spans="1:21">
      <c r="A43" s="20">
        <v>87</v>
      </c>
      <c r="B43" s="21" t="s">
        <v>328</v>
      </c>
      <c r="C43" s="24">
        <v>41569</v>
      </c>
      <c r="D43" s="24">
        <v>41709</v>
      </c>
      <c r="E43" s="21" t="s">
        <v>48</v>
      </c>
      <c r="F43" s="21" t="s">
        <v>329</v>
      </c>
      <c r="G43" s="21" t="s">
        <v>330</v>
      </c>
      <c r="H43" s="21" t="s">
        <v>25</v>
      </c>
      <c r="I43" s="21" t="s">
        <v>26</v>
      </c>
      <c r="J43" s="21" t="s">
        <v>331</v>
      </c>
      <c r="K43" s="21" t="s">
        <v>200</v>
      </c>
      <c r="L43" s="20">
        <v>55901</v>
      </c>
      <c r="M43" s="21" t="s">
        <v>87</v>
      </c>
      <c r="N43" s="21" t="s">
        <v>332</v>
      </c>
      <c r="O43" s="21" t="s">
        <v>164</v>
      </c>
      <c r="P43" s="21" t="s">
        <v>202</v>
      </c>
      <c r="Q43" s="21" t="s">
        <v>333</v>
      </c>
      <c r="R43" s="28">
        <v>19.99</v>
      </c>
      <c r="S43" s="20">
        <v>1</v>
      </c>
      <c r="T43" s="29">
        <v>0</v>
      </c>
      <c r="U43" s="30">
        <v>6.7966</v>
      </c>
    </row>
    <row r="44" ht="45.75" spans="1:21">
      <c r="A44" s="20">
        <v>89</v>
      </c>
      <c r="B44" s="21" t="s">
        <v>334</v>
      </c>
      <c r="C44" s="24">
        <v>41570</v>
      </c>
      <c r="D44" s="24">
        <v>41582</v>
      </c>
      <c r="E44" s="21" t="s">
        <v>22</v>
      </c>
      <c r="F44" s="21" t="s">
        <v>335</v>
      </c>
      <c r="G44" s="21" t="s">
        <v>336</v>
      </c>
      <c r="H44" s="21" t="s">
        <v>84</v>
      </c>
      <c r="I44" s="21" t="s">
        <v>26</v>
      </c>
      <c r="J44" s="21" t="s">
        <v>155</v>
      </c>
      <c r="K44" s="21" t="s">
        <v>86</v>
      </c>
      <c r="L44" s="20">
        <v>77095</v>
      </c>
      <c r="M44" s="21" t="s">
        <v>87</v>
      </c>
      <c r="N44" s="21" t="s">
        <v>337</v>
      </c>
      <c r="O44" s="21" t="s">
        <v>43</v>
      </c>
      <c r="P44" s="21" t="s">
        <v>98</v>
      </c>
      <c r="Q44" s="21" t="s">
        <v>338</v>
      </c>
      <c r="R44" s="28">
        <v>158.368</v>
      </c>
      <c r="S44" s="20">
        <v>7</v>
      </c>
      <c r="T44" s="29">
        <v>0.2</v>
      </c>
      <c r="U44" s="30">
        <v>13.8572</v>
      </c>
    </row>
    <row r="45" ht="60.75" spans="1:21">
      <c r="A45" s="20">
        <v>90</v>
      </c>
      <c r="B45" s="21" t="s">
        <v>339</v>
      </c>
      <c r="C45" s="24">
        <v>41571</v>
      </c>
      <c r="D45" s="24" t="s">
        <v>340</v>
      </c>
      <c r="E45" s="21" t="s">
        <v>48</v>
      </c>
      <c r="F45" s="21" t="s">
        <v>341</v>
      </c>
      <c r="G45" s="21" t="s">
        <v>342</v>
      </c>
      <c r="H45" s="21" t="s">
        <v>38</v>
      </c>
      <c r="I45" s="21" t="s">
        <v>26</v>
      </c>
      <c r="J45" s="21" t="s">
        <v>39</v>
      </c>
      <c r="K45" s="21" t="s">
        <v>40</v>
      </c>
      <c r="L45" s="20">
        <v>90036</v>
      </c>
      <c r="M45" s="21" t="s">
        <v>41</v>
      </c>
      <c r="N45" s="21" t="s">
        <v>343</v>
      </c>
      <c r="O45" s="21" t="s">
        <v>43</v>
      </c>
      <c r="P45" s="21" t="s">
        <v>113</v>
      </c>
      <c r="Q45" s="21" t="s">
        <v>344</v>
      </c>
      <c r="R45" s="28">
        <v>20.1</v>
      </c>
      <c r="S45" s="20">
        <v>3</v>
      </c>
      <c r="T45" s="29">
        <v>0</v>
      </c>
      <c r="U45" s="30">
        <v>6.633</v>
      </c>
    </row>
    <row r="46" ht="30.75" spans="1:21">
      <c r="A46" s="20">
        <v>93</v>
      </c>
      <c r="B46" s="21" t="s">
        <v>345</v>
      </c>
      <c r="C46" s="24">
        <v>41572</v>
      </c>
      <c r="D46" s="24">
        <v>41031</v>
      </c>
      <c r="E46" s="21" t="s">
        <v>22</v>
      </c>
      <c r="F46" s="21" t="s">
        <v>346</v>
      </c>
      <c r="G46" s="21" t="s">
        <v>347</v>
      </c>
      <c r="H46" s="21" t="s">
        <v>25</v>
      </c>
      <c r="I46" s="21" t="s">
        <v>26</v>
      </c>
      <c r="J46" s="21" t="s">
        <v>348</v>
      </c>
      <c r="K46" s="21" t="s">
        <v>200</v>
      </c>
      <c r="L46" s="20">
        <v>55407</v>
      </c>
      <c r="M46" s="21" t="s">
        <v>87</v>
      </c>
      <c r="N46" s="21" t="s">
        <v>349</v>
      </c>
      <c r="O46" s="21" t="s">
        <v>43</v>
      </c>
      <c r="P46" s="21" t="s">
        <v>70</v>
      </c>
      <c r="Q46" s="21" t="s">
        <v>350</v>
      </c>
      <c r="R46" s="28">
        <v>12.96</v>
      </c>
      <c r="S46" s="20">
        <v>2</v>
      </c>
      <c r="T46" s="29">
        <v>0</v>
      </c>
      <c r="U46" s="30">
        <v>6.2208</v>
      </c>
    </row>
    <row r="47" ht="75.75" spans="1:21">
      <c r="A47" s="20">
        <v>96</v>
      </c>
      <c r="B47" s="21" t="s">
        <v>351</v>
      </c>
      <c r="C47" s="24">
        <v>41573</v>
      </c>
      <c r="D47" s="24" t="s">
        <v>352</v>
      </c>
      <c r="E47" s="21" t="s">
        <v>48</v>
      </c>
      <c r="F47" s="21" t="s">
        <v>353</v>
      </c>
      <c r="G47" s="21" t="s">
        <v>354</v>
      </c>
      <c r="H47" s="21" t="s">
        <v>84</v>
      </c>
      <c r="I47" s="21" t="s">
        <v>26</v>
      </c>
      <c r="J47" s="21" t="s">
        <v>355</v>
      </c>
      <c r="K47" s="21" t="s">
        <v>356</v>
      </c>
      <c r="L47" s="20">
        <v>97206</v>
      </c>
      <c r="M47" s="21" t="s">
        <v>41</v>
      </c>
      <c r="N47" s="21" t="s">
        <v>357</v>
      </c>
      <c r="O47" s="21" t="s">
        <v>43</v>
      </c>
      <c r="P47" s="21" t="s">
        <v>78</v>
      </c>
      <c r="Q47" s="21" t="s">
        <v>358</v>
      </c>
      <c r="R47" s="28">
        <v>5.682</v>
      </c>
      <c r="S47" s="20">
        <v>1</v>
      </c>
      <c r="T47" s="29">
        <v>0.7</v>
      </c>
      <c r="U47" s="30">
        <v>-3.788</v>
      </c>
    </row>
    <row r="48" ht="60.75" spans="1:21">
      <c r="A48" s="20">
        <v>97</v>
      </c>
      <c r="B48" s="21" t="s">
        <v>359</v>
      </c>
      <c r="C48" s="24">
        <v>41574</v>
      </c>
      <c r="D48" s="24">
        <v>41984</v>
      </c>
      <c r="E48" s="21" t="s">
        <v>22</v>
      </c>
      <c r="F48" s="21" t="s">
        <v>360</v>
      </c>
      <c r="G48" s="21" t="s">
        <v>361</v>
      </c>
      <c r="H48" s="21" t="s">
        <v>84</v>
      </c>
      <c r="I48" s="21" t="s">
        <v>26</v>
      </c>
      <c r="J48" s="21" t="s">
        <v>232</v>
      </c>
      <c r="K48" s="21" t="s">
        <v>233</v>
      </c>
      <c r="L48" s="20">
        <v>10009</v>
      </c>
      <c r="M48" s="21" t="s">
        <v>129</v>
      </c>
      <c r="N48" s="21" t="s">
        <v>362</v>
      </c>
      <c r="O48" s="21" t="s">
        <v>31</v>
      </c>
      <c r="P48" s="21" t="s">
        <v>61</v>
      </c>
      <c r="Q48" s="21" t="s">
        <v>363</v>
      </c>
      <c r="R48" s="28">
        <v>96.53</v>
      </c>
      <c r="S48" s="20">
        <v>7</v>
      </c>
      <c r="T48" s="29">
        <v>0</v>
      </c>
      <c r="U48" s="30">
        <v>40.5426</v>
      </c>
    </row>
    <row r="49" ht="45.75" spans="1:21">
      <c r="A49" s="20">
        <v>98</v>
      </c>
      <c r="B49" s="21" t="s">
        <v>364</v>
      </c>
      <c r="C49" s="24">
        <v>41575</v>
      </c>
      <c r="D49" s="24" t="s">
        <v>365</v>
      </c>
      <c r="E49" s="21" t="s">
        <v>159</v>
      </c>
      <c r="F49" s="21" t="s">
        <v>366</v>
      </c>
      <c r="G49" s="21" t="s">
        <v>367</v>
      </c>
      <c r="H49" s="21" t="s">
        <v>25</v>
      </c>
      <c r="I49" s="21" t="s">
        <v>26</v>
      </c>
      <c r="J49" s="21" t="s">
        <v>111</v>
      </c>
      <c r="K49" s="21" t="s">
        <v>40</v>
      </c>
      <c r="L49" s="20">
        <v>94122</v>
      </c>
      <c r="M49" s="21" t="s">
        <v>41</v>
      </c>
      <c r="N49" s="21" t="s">
        <v>368</v>
      </c>
      <c r="O49" s="21" t="s">
        <v>43</v>
      </c>
      <c r="P49" s="21" t="s">
        <v>78</v>
      </c>
      <c r="Q49" s="21" t="s">
        <v>369</v>
      </c>
      <c r="R49" s="28">
        <v>51.312</v>
      </c>
      <c r="S49" s="20">
        <v>3</v>
      </c>
      <c r="T49" s="29">
        <v>0.2</v>
      </c>
      <c r="U49" s="30">
        <v>17.9592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9"/>
  <sheetViews>
    <sheetView workbookViewId="0">
      <selection activeCell="A1" sqref="$A1:$XFD1048576"/>
    </sheetView>
  </sheetViews>
  <sheetFormatPr defaultColWidth="9" defaultRowHeight="15"/>
  <cols>
    <col min="1" max="2" width="9.14285714285714" style="9"/>
    <col min="3" max="3" width="9.14285714285714" style="10"/>
    <col min="4" max="4" width="10.4285714285714" style="11" customWidth="1"/>
    <col min="5" max="6" width="10.4285714285714" style="12" customWidth="1"/>
    <col min="7" max="9" width="9.14285714285714" style="9"/>
    <col min="10" max="10" width="11.1428571428571" style="9" customWidth="1"/>
    <col min="11" max="18" width="9.14285714285714" style="9"/>
    <col min="19" max="19" width="13.7142857142857" style="9" customWidth="1"/>
    <col min="20" max="20" width="9.71428571428571" style="13" customWidth="1"/>
    <col min="21" max="21" width="9.14285714285714" style="9"/>
    <col min="22" max="22" width="9.14285714285714" style="14"/>
    <col min="23" max="23" width="11.2857142857143" style="15" customWidth="1"/>
    <col min="24" max="16384" width="9.14285714285714" style="9"/>
  </cols>
  <sheetData>
    <row r="1" ht="32.25" spans="1:23">
      <c r="A1" s="16" t="s">
        <v>0</v>
      </c>
      <c r="B1" s="16" t="s">
        <v>1</v>
      </c>
      <c r="C1" s="17" t="s">
        <v>370</v>
      </c>
      <c r="D1" s="18" t="s">
        <v>371</v>
      </c>
      <c r="E1" s="19" t="s">
        <v>2</v>
      </c>
      <c r="F1" s="19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10</v>
      </c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16" t="s">
        <v>16</v>
      </c>
      <c r="T1" s="25" t="s">
        <v>17</v>
      </c>
      <c r="U1" s="16" t="s">
        <v>18</v>
      </c>
      <c r="V1" s="26" t="s">
        <v>19</v>
      </c>
      <c r="W1" s="27" t="s">
        <v>20</v>
      </c>
    </row>
    <row r="2" ht="60.75" spans="1:23">
      <c r="A2" s="20">
        <v>1</v>
      </c>
      <c r="B2" s="21" t="s">
        <v>21</v>
      </c>
      <c r="C2" s="22" t="str">
        <f>TEXT(E2,"MMM")</f>
        <v>Sep</v>
      </c>
      <c r="D2" s="23">
        <v>2013</v>
      </c>
      <c r="E2" s="24">
        <v>41528</v>
      </c>
      <c r="F2" s="24">
        <v>41619</v>
      </c>
      <c r="G2" s="21" t="s">
        <v>22</v>
      </c>
      <c r="H2" s="21" t="s">
        <v>23</v>
      </c>
      <c r="I2" s="21" t="s">
        <v>24</v>
      </c>
      <c r="J2" s="21" t="s">
        <v>25</v>
      </c>
      <c r="K2" s="21" t="s">
        <v>26</v>
      </c>
      <c r="L2" s="21" t="s">
        <v>27</v>
      </c>
      <c r="M2" s="21" t="s">
        <v>28</v>
      </c>
      <c r="N2" s="20">
        <v>42420</v>
      </c>
      <c r="O2" s="21" t="s">
        <v>29</v>
      </c>
      <c r="P2" s="21" t="s">
        <v>30</v>
      </c>
      <c r="Q2" s="21" t="s">
        <v>31</v>
      </c>
      <c r="R2" s="21" t="s">
        <v>32</v>
      </c>
      <c r="S2" s="21" t="s">
        <v>33</v>
      </c>
      <c r="T2" s="28">
        <v>261.96</v>
      </c>
      <c r="U2" s="20">
        <v>2</v>
      </c>
      <c r="V2" s="29">
        <v>0</v>
      </c>
      <c r="W2" s="30">
        <v>41.9136</v>
      </c>
    </row>
    <row r="3" ht="75.75" spans="1:23">
      <c r="A3" s="20">
        <v>3</v>
      </c>
      <c r="B3" s="21" t="s">
        <v>34</v>
      </c>
      <c r="C3" s="22" t="str">
        <f t="shared" ref="C3:C49" si="0">TEXT(E3,"MMM")</f>
        <v>Sep</v>
      </c>
      <c r="D3" s="23">
        <v>2013</v>
      </c>
      <c r="E3" s="24">
        <v>41529</v>
      </c>
      <c r="F3" s="24">
        <v>41620</v>
      </c>
      <c r="G3" s="21" t="s">
        <v>22</v>
      </c>
      <c r="H3" s="21" t="s">
        <v>36</v>
      </c>
      <c r="I3" s="21" t="s">
        <v>37</v>
      </c>
      <c r="J3" s="21" t="s">
        <v>38</v>
      </c>
      <c r="K3" s="21" t="s">
        <v>26</v>
      </c>
      <c r="L3" s="21" t="s">
        <v>39</v>
      </c>
      <c r="M3" s="21" t="s">
        <v>40</v>
      </c>
      <c r="N3" s="20">
        <v>90036</v>
      </c>
      <c r="O3" s="21" t="s">
        <v>41</v>
      </c>
      <c r="P3" s="21" t="s">
        <v>42</v>
      </c>
      <c r="Q3" s="21" t="s">
        <v>43</v>
      </c>
      <c r="R3" s="21" t="s">
        <v>44</v>
      </c>
      <c r="S3" s="21" t="s">
        <v>45</v>
      </c>
      <c r="T3" s="28">
        <v>14.62</v>
      </c>
      <c r="U3" s="20">
        <v>2</v>
      </c>
      <c r="V3" s="29">
        <v>0</v>
      </c>
      <c r="W3" s="30">
        <v>6.8714</v>
      </c>
    </row>
    <row r="4" ht="75.75" spans="1:23">
      <c r="A4" s="20">
        <v>4</v>
      </c>
      <c r="B4" s="21" t="s">
        <v>46</v>
      </c>
      <c r="C4" s="22" t="str">
        <f t="shared" si="0"/>
        <v>Sep</v>
      </c>
      <c r="D4" s="23">
        <v>2012</v>
      </c>
      <c r="E4" s="24">
        <v>41530</v>
      </c>
      <c r="F4" s="24">
        <v>41621</v>
      </c>
      <c r="G4" s="21" t="s">
        <v>48</v>
      </c>
      <c r="H4" s="21" t="s">
        <v>49</v>
      </c>
      <c r="I4" s="21" t="s">
        <v>50</v>
      </c>
      <c r="J4" s="21" t="s">
        <v>25</v>
      </c>
      <c r="K4" s="21" t="s">
        <v>26</v>
      </c>
      <c r="L4" s="21" t="s">
        <v>51</v>
      </c>
      <c r="M4" s="21" t="s">
        <v>52</v>
      </c>
      <c r="N4" s="20">
        <v>33311</v>
      </c>
      <c r="O4" s="21" t="s">
        <v>29</v>
      </c>
      <c r="P4" s="21" t="s">
        <v>53</v>
      </c>
      <c r="Q4" s="21" t="s">
        <v>31</v>
      </c>
      <c r="R4" s="21" t="s">
        <v>54</v>
      </c>
      <c r="S4" s="21" t="s">
        <v>55</v>
      </c>
      <c r="T4" s="28">
        <v>957.5775</v>
      </c>
      <c r="U4" s="20">
        <v>5</v>
      </c>
      <c r="V4" s="29">
        <v>0.45</v>
      </c>
      <c r="W4" s="30">
        <v>-383.031</v>
      </c>
    </row>
    <row r="5" ht="90.75" spans="1:23">
      <c r="A5" s="20">
        <v>6</v>
      </c>
      <c r="B5" s="21" t="s">
        <v>56</v>
      </c>
      <c r="C5" s="22" t="str">
        <f t="shared" si="0"/>
        <v>Sep</v>
      </c>
      <c r="D5" s="23">
        <v>2011</v>
      </c>
      <c r="E5" s="24">
        <v>41531</v>
      </c>
      <c r="F5" s="24">
        <v>41622</v>
      </c>
      <c r="G5" s="21" t="s">
        <v>48</v>
      </c>
      <c r="H5" s="21" t="s">
        <v>58</v>
      </c>
      <c r="I5" s="21" t="s">
        <v>59</v>
      </c>
      <c r="J5" s="21" t="s">
        <v>25</v>
      </c>
      <c r="K5" s="21" t="s">
        <v>26</v>
      </c>
      <c r="L5" s="21" t="s">
        <v>39</v>
      </c>
      <c r="M5" s="21" t="s">
        <v>40</v>
      </c>
      <c r="N5" s="20">
        <v>90032</v>
      </c>
      <c r="O5" s="21" t="s">
        <v>41</v>
      </c>
      <c r="P5" s="21" t="s">
        <v>60</v>
      </c>
      <c r="Q5" s="21" t="s">
        <v>31</v>
      </c>
      <c r="R5" s="21" t="s">
        <v>61</v>
      </c>
      <c r="S5" s="21" t="s">
        <v>62</v>
      </c>
      <c r="T5" s="28">
        <v>48.86</v>
      </c>
      <c r="U5" s="20">
        <v>7</v>
      </c>
      <c r="V5" s="29">
        <v>0</v>
      </c>
      <c r="W5" s="30">
        <v>14.1694</v>
      </c>
    </row>
    <row r="6" ht="30.75" spans="1:23">
      <c r="A6" s="20">
        <v>13</v>
      </c>
      <c r="B6" s="21" t="s">
        <v>63</v>
      </c>
      <c r="C6" s="22" t="str">
        <f t="shared" si="0"/>
        <v>Sep</v>
      </c>
      <c r="D6" s="23">
        <v>2014</v>
      </c>
      <c r="E6" s="24">
        <v>41532</v>
      </c>
      <c r="F6" s="24">
        <v>41623</v>
      </c>
      <c r="G6" s="21" t="s">
        <v>48</v>
      </c>
      <c r="H6" s="21" t="s">
        <v>65</v>
      </c>
      <c r="I6" s="21" t="s">
        <v>66</v>
      </c>
      <c r="J6" s="21" t="s">
        <v>25</v>
      </c>
      <c r="K6" s="21" t="s">
        <v>26</v>
      </c>
      <c r="L6" s="21" t="s">
        <v>67</v>
      </c>
      <c r="M6" s="21" t="s">
        <v>68</v>
      </c>
      <c r="N6" s="20">
        <v>28027</v>
      </c>
      <c r="O6" s="21" t="s">
        <v>29</v>
      </c>
      <c r="P6" s="21" t="s">
        <v>69</v>
      </c>
      <c r="Q6" s="21" t="s">
        <v>43</v>
      </c>
      <c r="R6" s="21" t="s">
        <v>70</v>
      </c>
      <c r="S6" s="21" t="s">
        <v>71</v>
      </c>
      <c r="T6" s="28">
        <v>15.552</v>
      </c>
      <c r="U6" s="20">
        <v>3</v>
      </c>
      <c r="V6" s="29">
        <v>0.2</v>
      </c>
      <c r="W6" s="30">
        <v>5.4432</v>
      </c>
    </row>
    <row r="7" ht="60.75" spans="1:23">
      <c r="A7" s="20">
        <v>14</v>
      </c>
      <c r="B7" s="21" t="s">
        <v>72</v>
      </c>
      <c r="C7" s="22" t="str">
        <f t="shared" si="0"/>
        <v>Sep</v>
      </c>
      <c r="D7" s="23">
        <v>2013</v>
      </c>
      <c r="E7" s="24">
        <v>41533</v>
      </c>
      <c r="F7" s="24">
        <v>41624</v>
      </c>
      <c r="G7" s="21" t="s">
        <v>48</v>
      </c>
      <c r="H7" s="21" t="s">
        <v>73</v>
      </c>
      <c r="I7" s="21" t="s">
        <v>74</v>
      </c>
      <c r="J7" s="21" t="s">
        <v>25</v>
      </c>
      <c r="K7" s="21" t="s">
        <v>26</v>
      </c>
      <c r="L7" s="21" t="s">
        <v>75</v>
      </c>
      <c r="M7" s="21" t="s">
        <v>76</v>
      </c>
      <c r="N7" s="20">
        <v>98103</v>
      </c>
      <c r="O7" s="21" t="s">
        <v>41</v>
      </c>
      <c r="P7" s="21" t="s">
        <v>77</v>
      </c>
      <c r="Q7" s="21" t="s">
        <v>43</v>
      </c>
      <c r="R7" s="21" t="s">
        <v>78</v>
      </c>
      <c r="S7" s="21" t="s">
        <v>79</v>
      </c>
      <c r="T7" s="28">
        <v>407.976</v>
      </c>
      <c r="U7" s="20">
        <v>3</v>
      </c>
      <c r="V7" s="29">
        <v>0.2</v>
      </c>
      <c r="W7" s="30">
        <v>132.5922</v>
      </c>
    </row>
    <row r="8" ht="105.75" spans="1:23">
      <c r="A8" s="20">
        <v>15</v>
      </c>
      <c r="B8" s="21" t="s">
        <v>80</v>
      </c>
      <c r="C8" s="22" t="str">
        <f t="shared" si="0"/>
        <v>Sep</v>
      </c>
      <c r="D8" s="23">
        <v>2012</v>
      </c>
      <c r="E8" s="24">
        <v>41534</v>
      </c>
      <c r="F8" s="24">
        <v>41625</v>
      </c>
      <c r="G8" s="21" t="s">
        <v>48</v>
      </c>
      <c r="H8" s="21" t="s">
        <v>82</v>
      </c>
      <c r="I8" s="21" t="s">
        <v>83</v>
      </c>
      <c r="J8" s="21" t="s">
        <v>84</v>
      </c>
      <c r="K8" s="21" t="s">
        <v>26</v>
      </c>
      <c r="L8" s="21" t="s">
        <v>85</v>
      </c>
      <c r="M8" s="21" t="s">
        <v>86</v>
      </c>
      <c r="N8" s="20">
        <v>76106</v>
      </c>
      <c r="O8" s="21" t="s">
        <v>87</v>
      </c>
      <c r="P8" s="21" t="s">
        <v>88</v>
      </c>
      <c r="Q8" s="21" t="s">
        <v>43</v>
      </c>
      <c r="R8" s="21" t="s">
        <v>89</v>
      </c>
      <c r="S8" s="21" t="s">
        <v>90</v>
      </c>
      <c r="T8" s="28">
        <v>68.81</v>
      </c>
      <c r="U8" s="20">
        <v>5</v>
      </c>
      <c r="V8" s="29">
        <v>0.8</v>
      </c>
      <c r="W8" s="30">
        <v>-123.858</v>
      </c>
    </row>
    <row r="9" ht="90.75" spans="1:23">
      <c r="A9" s="20">
        <v>17</v>
      </c>
      <c r="B9" s="21" t="s">
        <v>91</v>
      </c>
      <c r="C9" s="22" t="str">
        <f t="shared" si="0"/>
        <v>Sep</v>
      </c>
      <c r="D9" s="23">
        <v>2011</v>
      </c>
      <c r="E9" s="24">
        <v>41535</v>
      </c>
      <c r="F9" s="24">
        <v>41626</v>
      </c>
      <c r="G9" s="21" t="s">
        <v>48</v>
      </c>
      <c r="H9" s="21" t="s">
        <v>93</v>
      </c>
      <c r="I9" s="21" t="s">
        <v>94</v>
      </c>
      <c r="J9" s="21" t="s">
        <v>25</v>
      </c>
      <c r="K9" s="21" t="s">
        <v>26</v>
      </c>
      <c r="L9" s="21" t="s">
        <v>95</v>
      </c>
      <c r="M9" s="21" t="s">
        <v>96</v>
      </c>
      <c r="N9" s="20">
        <v>53711</v>
      </c>
      <c r="O9" s="21" t="s">
        <v>87</v>
      </c>
      <c r="P9" s="21" t="s">
        <v>97</v>
      </c>
      <c r="Q9" s="21" t="s">
        <v>43</v>
      </c>
      <c r="R9" s="21" t="s">
        <v>98</v>
      </c>
      <c r="S9" s="21" t="s">
        <v>99</v>
      </c>
      <c r="T9" s="28">
        <v>665.88</v>
      </c>
      <c r="U9" s="20">
        <v>6</v>
      </c>
      <c r="V9" s="29">
        <v>0</v>
      </c>
      <c r="W9" s="30">
        <v>13.3176</v>
      </c>
    </row>
    <row r="10" ht="45.75" spans="1:23">
      <c r="A10" s="20">
        <v>18</v>
      </c>
      <c r="B10" s="21" t="s">
        <v>100</v>
      </c>
      <c r="C10" s="22" t="str">
        <f t="shared" si="0"/>
        <v>Sep</v>
      </c>
      <c r="D10" s="23">
        <v>2011</v>
      </c>
      <c r="E10" s="24">
        <v>41536</v>
      </c>
      <c r="F10" s="24">
        <v>41627</v>
      </c>
      <c r="G10" s="21" t="s">
        <v>22</v>
      </c>
      <c r="H10" s="21" t="s">
        <v>102</v>
      </c>
      <c r="I10" s="21" t="s">
        <v>103</v>
      </c>
      <c r="J10" s="21" t="s">
        <v>25</v>
      </c>
      <c r="K10" s="21" t="s">
        <v>26</v>
      </c>
      <c r="L10" s="21" t="s">
        <v>104</v>
      </c>
      <c r="M10" s="21" t="s">
        <v>105</v>
      </c>
      <c r="N10" s="20">
        <v>84084</v>
      </c>
      <c r="O10" s="21" t="s">
        <v>41</v>
      </c>
      <c r="P10" s="21" t="s">
        <v>106</v>
      </c>
      <c r="Q10" s="21" t="s">
        <v>43</v>
      </c>
      <c r="R10" s="21" t="s">
        <v>98</v>
      </c>
      <c r="S10" s="21" t="s">
        <v>107</v>
      </c>
      <c r="T10" s="28">
        <v>55.5</v>
      </c>
      <c r="U10" s="20">
        <v>2</v>
      </c>
      <c r="V10" s="29">
        <v>0</v>
      </c>
      <c r="W10" s="30">
        <v>9.99</v>
      </c>
    </row>
    <row r="11" ht="30.75" spans="1:23">
      <c r="A11" s="20">
        <v>19</v>
      </c>
      <c r="B11" s="21" t="s">
        <v>108</v>
      </c>
      <c r="C11" s="22" t="str">
        <f t="shared" si="0"/>
        <v>Sep</v>
      </c>
      <c r="D11" s="23">
        <v>2011</v>
      </c>
      <c r="E11" s="24">
        <v>41537</v>
      </c>
      <c r="F11" s="24">
        <v>41628</v>
      </c>
      <c r="G11" s="21" t="s">
        <v>22</v>
      </c>
      <c r="H11" s="21" t="s">
        <v>109</v>
      </c>
      <c r="I11" s="21" t="s">
        <v>110</v>
      </c>
      <c r="J11" s="21" t="s">
        <v>25</v>
      </c>
      <c r="K11" s="21" t="s">
        <v>26</v>
      </c>
      <c r="L11" s="21" t="s">
        <v>111</v>
      </c>
      <c r="M11" s="21" t="s">
        <v>40</v>
      </c>
      <c r="N11" s="20">
        <v>94109</v>
      </c>
      <c r="O11" s="21" t="s">
        <v>41</v>
      </c>
      <c r="P11" s="21" t="s">
        <v>112</v>
      </c>
      <c r="Q11" s="21" t="s">
        <v>43</v>
      </c>
      <c r="R11" s="21" t="s">
        <v>113</v>
      </c>
      <c r="S11" s="21" t="s">
        <v>114</v>
      </c>
      <c r="T11" s="28">
        <v>8.56</v>
      </c>
      <c r="U11" s="20">
        <v>2</v>
      </c>
      <c r="V11" s="29">
        <v>0</v>
      </c>
      <c r="W11" s="30">
        <v>2.4824</v>
      </c>
    </row>
    <row r="12" ht="30.75" spans="1:23">
      <c r="A12" s="20">
        <v>22</v>
      </c>
      <c r="B12" s="21" t="s">
        <v>115</v>
      </c>
      <c r="C12" s="22" t="str">
        <f t="shared" si="0"/>
        <v>Sep</v>
      </c>
      <c r="D12" s="23">
        <v>2013</v>
      </c>
      <c r="E12" s="24">
        <v>41538</v>
      </c>
      <c r="F12" s="24">
        <v>41629</v>
      </c>
      <c r="G12" s="21" t="s">
        <v>48</v>
      </c>
      <c r="H12" s="21" t="s">
        <v>117</v>
      </c>
      <c r="I12" s="21" t="s">
        <v>118</v>
      </c>
      <c r="J12" s="21" t="s">
        <v>38</v>
      </c>
      <c r="K12" s="21" t="s">
        <v>26</v>
      </c>
      <c r="L12" s="21" t="s">
        <v>119</v>
      </c>
      <c r="M12" s="21" t="s">
        <v>120</v>
      </c>
      <c r="N12" s="20">
        <v>68025</v>
      </c>
      <c r="O12" s="21" t="s">
        <v>87</v>
      </c>
      <c r="P12" s="21" t="s">
        <v>121</v>
      </c>
      <c r="Q12" s="21" t="s">
        <v>43</v>
      </c>
      <c r="R12" s="21" t="s">
        <v>113</v>
      </c>
      <c r="S12" s="21" t="s">
        <v>122</v>
      </c>
      <c r="T12" s="28">
        <v>19.46</v>
      </c>
      <c r="U12" s="20">
        <v>7</v>
      </c>
      <c r="V12" s="29">
        <v>0</v>
      </c>
      <c r="W12" s="30">
        <v>5.0596</v>
      </c>
    </row>
    <row r="13" ht="45.75" spans="1:23">
      <c r="A13" s="20">
        <v>24</v>
      </c>
      <c r="B13" s="21" t="s">
        <v>123</v>
      </c>
      <c r="C13" s="22" t="str">
        <f t="shared" si="0"/>
        <v>Sep</v>
      </c>
      <c r="D13" s="23">
        <v>2014</v>
      </c>
      <c r="E13" s="24">
        <v>41539</v>
      </c>
      <c r="F13" s="24">
        <v>41630</v>
      </c>
      <c r="G13" s="21" t="s">
        <v>22</v>
      </c>
      <c r="H13" s="21" t="s">
        <v>125</v>
      </c>
      <c r="I13" s="21" t="s">
        <v>126</v>
      </c>
      <c r="J13" s="21" t="s">
        <v>25</v>
      </c>
      <c r="K13" s="21" t="s">
        <v>26</v>
      </c>
      <c r="L13" s="21" t="s">
        <v>127</v>
      </c>
      <c r="M13" s="21" t="s">
        <v>128</v>
      </c>
      <c r="N13" s="20">
        <v>19140</v>
      </c>
      <c r="O13" s="21" t="s">
        <v>129</v>
      </c>
      <c r="P13" s="21" t="s">
        <v>130</v>
      </c>
      <c r="Q13" s="21" t="s">
        <v>31</v>
      </c>
      <c r="R13" s="21" t="s">
        <v>131</v>
      </c>
      <c r="S13" s="21" t="s">
        <v>132</v>
      </c>
      <c r="T13" s="28">
        <v>71.372</v>
      </c>
      <c r="U13" s="20">
        <v>2</v>
      </c>
      <c r="V13" s="29">
        <v>0.3</v>
      </c>
      <c r="W13" s="30">
        <v>-1.0196</v>
      </c>
    </row>
    <row r="14" ht="75.75" spans="1:23">
      <c r="A14" s="20">
        <v>25</v>
      </c>
      <c r="B14" s="21" t="s">
        <v>133</v>
      </c>
      <c r="C14" s="22" t="str">
        <f t="shared" si="0"/>
        <v>Sep</v>
      </c>
      <c r="D14" s="23">
        <v>2012</v>
      </c>
      <c r="E14" s="24">
        <v>41540</v>
      </c>
      <c r="F14" s="24">
        <v>41631</v>
      </c>
      <c r="G14" s="21" t="s">
        <v>48</v>
      </c>
      <c r="H14" s="21" t="s">
        <v>135</v>
      </c>
      <c r="I14" s="21" t="s">
        <v>136</v>
      </c>
      <c r="J14" s="21" t="s">
        <v>25</v>
      </c>
      <c r="K14" s="21" t="s">
        <v>26</v>
      </c>
      <c r="L14" s="21" t="s">
        <v>137</v>
      </c>
      <c r="M14" s="21" t="s">
        <v>105</v>
      </c>
      <c r="N14" s="20">
        <v>84057</v>
      </c>
      <c r="O14" s="21" t="s">
        <v>41</v>
      </c>
      <c r="P14" s="21" t="s">
        <v>138</v>
      </c>
      <c r="Q14" s="21" t="s">
        <v>31</v>
      </c>
      <c r="R14" s="21" t="s">
        <v>54</v>
      </c>
      <c r="S14" s="21" t="s">
        <v>55</v>
      </c>
      <c r="T14" s="28">
        <v>1044.63</v>
      </c>
      <c r="U14" s="20">
        <v>3</v>
      </c>
      <c r="V14" s="29">
        <v>0</v>
      </c>
      <c r="W14" s="30">
        <v>240.2649</v>
      </c>
    </row>
    <row r="15" ht="45.75" spans="1:23">
      <c r="A15" s="20">
        <v>26</v>
      </c>
      <c r="B15" s="21" t="s">
        <v>139</v>
      </c>
      <c r="C15" s="22" t="str">
        <f t="shared" si="0"/>
        <v>Sep</v>
      </c>
      <c r="D15" s="23">
        <v>2013</v>
      </c>
      <c r="E15" s="24">
        <v>41541</v>
      </c>
      <c r="F15" s="24">
        <v>41632</v>
      </c>
      <c r="G15" s="21" t="s">
        <v>22</v>
      </c>
      <c r="H15" s="21" t="s">
        <v>141</v>
      </c>
      <c r="I15" s="21" t="s">
        <v>142</v>
      </c>
      <c r="J15" s="21" t="s">
        <v>25</v>
      </c>
      <c r="K15" s="21" t="s">
        <v>26</v>
      </c>
      <c r="L15" s="21" t="s">
        <v>39</v>
      </c>
      <c r="M15" s="21" t="s">
        <v>40</v>
      </c>
      <c r="N15" s="20">
        <v>90049</v>
      </c>
      <c r="O15" s="21" t="s">
        <v>41</v>
      </c>
      <c r="P15" s="21" t="s">
        <v>143</v>
      </c>
      <c r="Q15" s="21" t="s">
        <v>43</v>
      </c>
      <c r="R15" s="21" t="s">
        <v>78</v>
      </c>
      <c r="S15" s="21" t="s">
        <v>144</v>
      </c>
      <c r="T15" s="28">
        <v>11.648</v>
      </c>
      <c r="U15" s="20">
        <v>2</v>
      </c>
      <c r="V15" s="29">
        <v>0.2</v>
      </c>
      <c r="W15" s="30">
        <v>4.2224</v>
      </c>
    </row>
    <row r="16" ht="90.75" spans="1:23">
      <c r="A16" s="20">
        <v>28</v>
      </c>
      <c r="B16" s="21" t="s">
        <v>145</v>
      </c>
      <c r="C16" s="22" t="str">
        <f t="shared" si="0"/>
        <v>Sep</v>
      </c>
      <c r="D16" s="23">
        <v>2012</v>
      </c>
      <c r="E16" s="24">
        <v>41542</v>
      </c>
      <c r="F16" s="24">
        <v>41633</v>
      </c>
      <c r="G16" s="21" t="s">
        <v>48</v>
      </c>
      <c r="H16" s="21" t="s">
        <v>147</v>
      </c>
      <c r="I16" s="21" t="s">
        <v>148</v>
      </c>
      <c r="J16" s="21" t="s">
        <v>25</v>
      </c>
      <c r="K16" s="21" t="s">
        <v>26</v>
      </c>
      <c r="L16" s="21" t="s">
        <v>127</v>
      </c>
      <c r="M16" s="21" t="s">
        <v>128</v>
      </c>
      <c r="N16" s="20">
        <v>19140</v>
      </c>
      <c r="O16" s="21" t="s">
        <v>129</v>
      </c>
      <c r="P16" s="21" t="s">
        <v>149</v>
      </c>
      <c r="Q16" s="21" t="s">
        <v>31</v>
      </c>
      <c r="R16" s="21" t="s">
        <v>32</v>
      </c>
      <c r="S16" s="21" t="s">
        <v>150</v>
      </c>
      <c r="T16" s="28">
        <v>3083.43</v>
      </c>
      <c r="U16" s="20">
        <v>7</v>
      </c>
      <c r="V16" s="29">
        <v>0.5</v>
      </c>
      <c r="W16" s="30">
        <v>-1665.0522</v>
      </c>
    </row>
    <row r="17" ht="30.75" spans="1:23">
      <c r="A17" s="20">
        <v>35</v>
      </c>
      <c r="B17" s="21" t="s">
        <v>151</v>
      </c>
      <c r="C17" s="22" t="str">
        <f t="shared" si="0"/>
        <v>Sep</v>
      </c>
      <c r="D17" s="23">
        <v>2014</v>
      </c>
      <c r="E17" s="24">
        <v>41543</v>
      </c>
      <c r="F17" s="24">
        <v>41634</v>
      </c>
      <c r="G17" s="21" t="s">
        <v>22</v>
      </c>
      <c r="H17" s="21" t="s">
        <v>153</v>
      </c>
      <c r="I17" s="21" t="s">
        <v>154</v>
      </c>
      <c r="J17" s="21" t="s">
        <v>84</v>
      </c>
      <c r="K17" s="21" t="s">
        <v>26</v>
      </c>
      <c r="L17" s="21" t="s">
        <v>155</v>
      </c>
      <c r="M17" s="21" t="s">
        <v>86</v>
      </c>
      <c r="N17" s="20">
        <v>77095</v>
      </c>
      <c r="O17" s="21" t="s">
        <v>87</v>
      </c>
      <c r="P17" s="21" t="s">
        <v>156</v>
      </c>
      <c r="Q17" s="21" t="s">
        <v>43</v>
      </c>
      <c r="R17" s="21" t="s">
        <v>70</v>
      </c>
      <c r="S17" s="21" t="s">
        <v>157</v>
      </c>
      <c r="T17" s="28">
        <v>29.472</v>
      </c>
      <c r="U17" s="20">
        <v>3</v>
      </c>
      <c r="V17" s="29">
        <v>0.2</v>
      </c>
      <c r="W17" s="30">
        <v>9.9468</v>
      </c>
    </row>
    <row r="18" ht="30.75" spans="1:23">
      <c r="A18" s="20">
        <v>36</v>
      </c>
      <c r="B18" s="21" t="s">
        <v>158</v>
      </c>
      <c r="C18" s="22" t="str">
        <f t="shared" si="0"/>
        <v>Sep</v>
      </c>
      <c r="D18" s="23">
        <v>2013</v>
      </c>
      <c r="E18" s="24">
        <v>41544</v>
      </c>
      <c r="F18" s="24">
        <v>41635</v>
      </c>
      <c r="G18" s="21" t="s">
        <v>159</v>
      </c>
      <c r="H18" s="21" t="s">
        <v>160</v>
      </c>
      <c r="I18" s="21" t="s">
        <v>161</v>
      </c>
      <c r="J18" s="21" t="s">
        <v>38</v>
      </c>
      <c r="K18" s="21" t="s">
        <v>26</v>
      </c>
      <c r="L18" s="21" t="s">
        <v>162</v>
      </c>
      <c r="M18" s="21" t="s">
        <v>86</v>
      </c>
      <c r="N18" s="20">
        <v>75080</v>
      </c>
      <c r="O18" s="21" t="s">
        <v>87</v>
      </c>
      <c r="P18" s="21" t="s">
        <v>163</v>
      </c>
      <c r="Q18" s="21" t="s">
        <v>164</v>
      </c>
      <c r="R18" s="21" t="s">
        <v>165</v>
      </c>
      <c r="S18" s="21" t="s">
        <v>166</v>
      </c>
      <c r="T18" s="28">
        <v>1097.544</v>
      </c>
      <c r="U18" s="20">
        <v>7</v>
      </c>
      <c r="V18" s="29">
        <v>0.2</v>
      </c>
      <c r="W18" s="30">
        <v>123.4737</v>
      </c>
    </row>
    <row r="19" ht="60.75" spans="1:23">
      <c r="A19" s="20">
        <v>38</v>
      </c>
      <c r="B19" s="21" t="s">
        <v>167</v>
      </c>
      <c r="C19" s="22" t="str">
        <f t="shared" si="0"/>
        <v>Sep</v>
      </c>
      <c r="D19" s="23">
        <v>2012</v>
      </c>
      <c r="E19" s="24">
        <v>41545</v>
      </c>
      <c r="F19" s="24">
        <v>41636</v>
      </c>
      <c r="G19" s="21" t="s">
        <v>48</v>
      </c>
      <c r="H19" s="21" t="s">
        <v>169</v>
      </c>
      <c r="I19" s="21" t="s">
        <v>170</v>
      </c>
      <c r="J19" s="21" t="s">
        <v>84</v>
      </c>
      <c r="K19" s="21" t="s">
        <v>26</v>
      </c>
      <c r="L19" s="21" t="s">
        <v>155</v>
      </c>
      <c r="M19" s="21" t="s">
        <v>86</v>
      </c>
      <c r="N19" s="20">
        <v>77041</v>
      </c>
      <c r="O19" s="21" t="s">
        <v>87</v>
      </c>
      <c r="P19" s="21" t="s">
        <v>171</v>
      </c>
      <c r="Q19" s="21" t="s">
        <v>43</v>
      </c>
      <c r="R19" s="21" t="s">
        <v>172</v>
      </c>
      <c r="S19" s="21" t="s">
        <v>173</v>
      </c>
      <c r="T19" s="28">
        <v>113.328</v>
      </c>
      <c r="U19" s="20">
        <v>9</v>
      </c>
      <c r="V19" s="29">
        <v>0.2</v>
      </c>
      <c r="W19" s="30">
        <v>35.415</v>
      </c>
    </row>
    <row r="20" ht="30.75" spans="1:23">
      <c r="A20" s="20">
        <v>42</v>
      </c>
      <c r="B20" s="21" t="s">
        <v>174</v>
      </c>
      <c r="C20" s="22" t="str">
        <f t="shared" si="0"/>
        <v>Sep</v>
      </c>
      <c r="D20" s="23">
        <v>2014</v>
      </c>
      <c r="E20" s="24">
        <v>41546</v>
      </c>
      <c r="F20" s="24">
        <v>41637</v>
      </c>
      <c r="G20" s="21" t="s">
        <v>48</v>
      </c>
      <c r="H20" s="21" t="s">
        <v>176</v>
      </c>
      <c r="I20" s="21" t="s">
        <v>177</v>
      </c>
      <c r="J20" s="21" t="s">
        <v>38</v>
      </c>
      <c r="K20" s="21" t="s">
        <v>26</v>
      </c>
      <c r="L20" s="21" t="s">
        <v>178</v>
      </c>
      <c r="M20" s="21" t="s">
        <v>179</v>
      </c>
      <c r="N20" s="20">
        <v>60540</v>
      </c>
      <c r="O20" s="21" t="s">
        <v>87</v>
      </c>
      <c r="P20" s="21" t="s">
        <v>180</v>
      </c>
      <c r="Q20" s="21" t="s">
        <v>164</v>
      </c>
      <c r="R20" s="21" t="s">
        <v>165</v>
      </c>
      <c r="S20" s="21" t="s">
        <v>181</v>
      </c>
      <c r="T20" s="28">
        <v>147.168</v>
      </c>
      <c r="U20" s="20">
        <v>4</v>
      </c>
      <c r="V20" s="29">
        <v>0.2</v>
      </c>
      <c r="W20" s="30">
        <v>16.5564</v>
      </c>
    </row>
    <row r="21" ht="60.75" spans="1:23">
      <c r="A21" s="20">
        <v>43</v>
      </c>
      <c r="B21" s="21" t="s">
        <v>182</v>
      </c>
      <c r="C21" s="22" t="str">
        <f t="shared" si="0"/>
        <v>Sep</v>
      </c>
      <c r="D21" s="23">
        <v>2013</v>
      </c>
      <c r="E21" s="24">
        <v>41547</v>
      </c>
      <c r="F21" s="24">
        <v>41638</v>
      </c>
      <c r="G21" s="21" t="s">
        <v>48</v>
      </c>
      <c r="H21" s="21" t="s">
        <v>184</v>
      </c>
      <c r="I21" s="21" t="s">
        <v>185</v>
      </c>
      <c r="J21" s="21" t="s">
        <v>38</v>
      </c>
      <c r="K21" s="21" t="s">
        <v>26</v>
      </c>
      <c r="L21" s="21" t="s">
        <v>39</v>
      </c>
      <c r="M21" s="21" t="s">
        <v>40</v>
      </c>
      <c r="N21" s="20">
        <v>90049</v>
      </c>
      <c r="O21" s="21" t="s">
        <v>41</v>
      </c>
      <c r="P21" s="21" t="s">
        <v>186</v>
      </c>
      <c r="Q21" s="21" t="s">
        <v>43</v>
      </c>
      <c r="R21" s="21" t="s">
        <v>98</v>
      </c>
      <c r="S21" s="21" t="s">
        <v>187</v>
      </c>
      <c r="T21" s="28">
        <v>77.88</v>
      </c>
      <c r="U21" s="20">
        <v>2</v>
      </c>
      <c r="V21" s="29">
        <v>0</v>
      </c>
      <c r="W21" s="30">
        <v>3.894</v>
      </c>
    </row>
    <row r="22" ht="105.75" spans="1:23">
      <c r="A22" s="20">
        <v>44</v>
      </c>
      <c r="B22" s="21" t="s">
        <v>188</v>
      </c>
      <c r="C22" s="22" t="str">
        <f t="shared" si="0"/>
        <v>Oct</v>
      </c>
      <c r="D22" s="23">
        <v>2014</v>
      </c>
      <c r="E22" s="24">
        <v>41548</v>
      </c>
      <c r="F22" s="24">
        <v>41639</v>
      </c>
      <c r="G22" s="21" t="s">
        <v>48</v>
      </c>
      <c r="H22" s="21" t="s">
        <v>190</v>
      </c>
      <c r="I22" s="21" t="s">
        <v>191</v>
      </c>
      <c r="J22" s="21" t="s">
        <v>38</v>
      </c>
      <c r="K22" s="21" t="s">
        <v>26</v>
      </c>
      <c r="L22" s="21" t="s">
        <v>192</v>
      </c>
      <c r="M22" s="21" t="s">
        <v>52</v>
      </c>
      <c r="N22" s="20">
        <v>32935</v>
      </c>
      <c r="O22" s="21" t="s">
        <v>29</v>
      </c>
      <c r="P22" s="21" t="s">
        <v>193</v>
      </c>
      <c r="Q22" s="21" t="s">
        <v>43</v>
      </c>
      <c r="R22" s="21" t="s">
        <v>98</v>
      </c>
      <c r="S22" s="21" t="s">
        <v>194</v>
      </c>
      <c r="T22" s="28">
        <v>95.616</v>
      </c>
      <c r="U22" s="20">
        <v>2</v>
      </c>
      <c r="V22" s="29">
        <v>0.2</v>
      </c>
      <c r="W22" s="30">
        <v>9.5616</v>
      </c>
    </row>
    <row r="23" ht="75.75" spans="1:23">
      <c r="A23" s="20">
        <v>45</v>
      </c>
      <c r="B23" s="21" t="s">
        <v>195</v>
      </c>
      <c r="C23" s="22" t="str">
        <f t="shared" si="0"/>
        <v>Oct</v>
      </c>
      <c r="D23" s="23">
        <v>2013</v>
      </c>
      <c r="E23" s="24">
        <v>41549</v>
      </c>
      <c r="F23" s="24">
        <v>41640</v>
      </c>
      <c r="G23" s="21" t="s">
        <v>159</v>
      </c>
      <c r="H23" s="21" t="s">
        <v>197</v>
      </c>
      <c r="I23" s="21" t="s">
        <v>198</v>
      </c>
      <c r="J23" s="21" t="s">
        <v>38</v>
      </c>
      <c r="K23" s="21" t="s">
        <v>26</v>
      </c>
      <c r="L23" s="21" t="s">
        <v>199</v>
      </c>
      <c r="M23" s="21" t="s">
        <v>200</v>
      </c>
      <c r="N23" s="20">
        <v>55122</v>
      </c>
      <c r="O23" s="21" t="s">
        <v>87</v>
      </c>
      <c r="P23" s="21" t="s">
        <v>201</v>
      </c>
      <c r="Q23" s="21" t="s">
        <v>164</v>
      </c>
      <c r="R23" s="21" t="s">
        <v>202</v>
      </c>
      <c r="S23" s="21" t="s">
        <v>203</v>
      </c>
      <c r="T23" s="28">
        <v>45.98</v>
      </c>
      <c r="U23" s="20">
        <v>2</v>
      </c>
      <c r="V23" s="29">
        <v>0</v>
      </c>
      <c r="W23" s="30">
        <v>19.7714</v>
      </c>
    </row>
    <row r="24" ht="90.75" spans="1:23">
      <c r="A24" s="20">
        <v>47</v>
      </c>
      <c r="B24" s="21" t="s">
        <v>204</v>
      </c>
      <c r="C24" s="22" t="str">
        <f t="shared" si="0"/>
        <v>Oct</v>
      </c>
      <c r="D24" s="23">
        <v>2011</v>
      </c>
      <c r="E24" s="24">
        <v>41550</v>
      </c>
      <c r="F24" s="24">
        <v>41641</v>
      </c>
      <c r="G24" s="21" t="s">
        <v>22</v>
      </c>
      <c r="H24" s="21" t="s">
        <v>206</v>
      </c>
      <c r="I24" s="21" t="s">
        <v>207</v>
      </c>
      <c r="J24" s="21" t="s">
        <v>25</v>
      </c>
      <c r="K24" s="21" t="s">
        <v>26</v>
      </c>
      <c r="L24" s="21" t="s">
        <v>208</v>
      </c>
      <c r="M24" s="21" t="s">
        <v>209</v>
      </c>
      <c r="N24" s="20">
        <v>48185</v>
      </c>
      <c r="O24" s="21" t="s">
        <v>87</v>
      </c>
      <c r="P24" s="21" t="s">
        <v>210</v>
      </c>
      <c r="Q24" s="21" t="s">
        <v>43</v>
      </c>
      <c r="R24" s="21" t="s">
        <v>98</v>
      </c>
      <c r="S24" s="21" t="s">
        <v>211</v>
      </c>
      <c r="T24" s="28">
        <v>211.96</v>
      </c>
      <c r="U24" s="20">
        <v>4</v>
      </c>
      <c r="V24" s="29">
        <v>0</v>
      </c>
      <c r="W24" s="30">
        <v>8.4784</v>
      </c>
    </row>
    <row r="25" ht="75.75" spans="1:23">
      <c r="A25" s="20">
        <v>48</v>
      </c>
      <c r="B25" s="21" t="s">
        <v>212</v>
      </c>
      <c r="C25" s="22" t="str">
        <f t="shared" si="0"/>
        <v>Oct</v>
      </c>
      <c r="D25" s="23">
        <v>2013</v>
      </c>
      <c r="E25" s="24">
        <v>41551</v>
      </c>
      <c r="F25" s="24">
        <v>41642</v>
      </c>
      <c r="G25" s="21" t="s">
        <v>48</v>
      </c>
      <c r="H25" s="21" t="s">
        <v>214</v>
      </c>
      <c r="I25" s="21" t="s">
        <v>215</v>
      </c>
      <c r="J25" s="21" t="s">
        <v>25</v>
      </c>
      <c r="K25" s="21" t="s">
        <v>26</v>
      </c>
      <c r="L25" s="21" t="s">
        <v>216</v>
      </c>
      <c r="M25" s="21" t="s">
        <v>217</v>
      </c>
      <c r="N25" s="20">
        <v>19901</v>
      </c>
      <c r="O25" s="21" t="s">
        <v>129</v>
      </c>
      <c r="P25" s="21" t="s">
        <v>218</v>
      </c>
      <c r="Q25" s="21" t="s">
        <v>164</v>
      </c>
      <c r="R25" s="21" t="s">
        <v>202</v>
      </c>
      <c r="S25" s="21" t="s">
        <v>219</v>
      </c>
      <c r="T25" s="28">
        <v>45</v>
      </c>
      <c r="U25" s="20">
        <v>3</v>
      </c>
      <c r="V25" s="29">
        <v>0</v>
      </c>
      <c r="W25" s="30">
        <v>4.95</v>
      </c>
    </row>
    <row r="26" ht="75.75" spans="1:23">
      <c r="A26" s="20">
        <v>50</v>
      </c>
      <c r="B26" s="21" t="s">
        <v>220</v>
      </c>
      <c r="C26" s="22" t="str">
        <f t="shared" si="0"/>
        <v>Oct</v>
      </c>
      <c r="D26" s="23">
        <v>2012</v>
      </c>
      <c r="E26" s="24">
        <v>41552</v>
      </c>
      <c r="F26" s="24">
        <v>41643</v>
      </c>
      <c r="G26" s="21" t="s">
        <v>48</v>
      </c>
      <c r="H26" s="21" t="s">
        <v>222</v>
      </c>
      <c r="I26" s="21" t="s">
        <v>223</v>
      </c>
      <c r="J26" s="21" t="s">
        <v>25</v>
      </c>
      <c r="K26" s="21" t="s">
        <v>26</v>
      </c>
      <c r="L26" s="21" t="s">
        <v>224</v>
      </c>
      <c r="M26" s="21" t="s">
        <v>225</v>
      </c>
      <c r="N26" s="20">
        <v>47150</v>
      </c>
      <c r="O26" s="21" t="s">
        <v>87</v>
      </c>
      <c r="P26" s="21" t="s">
        <v>226</v>
      </c>
      <c r="Q26" s="21" t="s">
        <v>43</v>
      </c>
      <c r="R26" s="21" t="s">
        <v>78</v>
      </c>
      <c r="S26" s="21" t="s">
        <v>227</v>
      </c>
      <c r="T26" s="28">
        <v>38.22</v>
      </c>
      <c r="U26" s="20">
        <v>6</v>
      </c>
      <c r="V26" s="29">
        <v>0</v>
      </c>
      <c r="W26" s="30">
        <v>17.9634</v>
      </c>
    </row>
    <row r="27" ht="30.75" spans="1:23">
      <c r="A27" s="20">
        <v>54</v>
      </c>
      <c r="B27" s="21" t="s">
        <v>228</v>
      </c>
      <c r="C27" s="22" t="str">
        <f t="shared" si="0"/>
        <v>Oct</v>
      </c>
      <c r="D27" s="23">
        <v>2013</v>
      </c>
      <c r="E27" s="24">
        <v>41553</v>
      </c>
      <c r="F27" s="24">
        <v>41644</v>
      </c>
      <c r="G27" s="21" t="s">
        <v>48</v>
      </c>
      <c r="H27" s="21" t="s">
        <v>230</v>
      </c>
      <c r="I27" s="21" t="s">
        <v>231</v>
      </c>
      <c r="J27" s="21" t="s">
        <v>38</v>
      </c>
      <c r="K27" s="21" t="s">
        <v>26</v>
      </c>
      <c r="L27" s="21" t="s">
        <v>232</v>
      </c>
      <c r="M27" s="21" t="s">
        <v>233</v>
      </c>
      <c r="N27" s="20">
        <v>10024</v>
      </c>
      <c r="O27" s="21" t="s">
        <v>129</v>
      </c>
      <c r="P27" s="21" t="s">
        <v>234</v>
      </c>
      <c r="Q27" s="21" t="s">
        <v>43</v>
      </c>
      <c r="R27" s="21" t="s">
        <v>235</v>
      </c>
      <c r="S27" s="21" t="s">
        <v>236</v>
      </c>
      <c r="T27" s="28">
        <v>15.26</v>
      </c>
      <c r="U27" s="20">
        <v>7</v>
      </c>
      <c r="V27" s="29">
        <v>0</v>
      </c>
      <c r="W27" s="30">
        <v>6.2566</v>
      </c>
    </row>
    <row r="28" ht="45.75" spans="1:23">
      <c r="A28" s="20">
        <v>56</v>
      </c>
      <c r="B28" s="21" t="s">
        <v>237</v>
      </c>
      <c r="C28" s="22" t="str">
        <f t="shared" si="0"/>
        <v>Oct</v>
      </c>
      <c r="D28" s="23">
        <v>2013</v>
      </c>
      <c r="E28" s="24">
        <v>41554</v>
      </c>
      <c r="F28" s="24">
        <v>41645</v>
      </c>
      <c r="G28" s="21" t="s">
        <v>159</v>
      </c>
      <c r="H28" s="21" t="s">
        <v>239</v>
      </c>
      <c r="I28" s="21" t="s">
        <v>240</v>
      </c>
      <c r="J28" s="21" t="s">
        <v>25</v>
      </c>
      <c r="K28" s="21" t="s">
        <v>26</v>
      </c>
      <c r="L28" s="21" t="s">
        <v>241</v>
      </c>
      <c r="M28" s="21" t="s">
        <v>233</v>
      </c>
      <c r="N28" s="20">
        <v>12180</v>
      </c>
      <c r="O28" s="21" t="s">
        <v>129</v>
      </c>
      <c r="P28" s="21" t="s">
        <v>242</v>
      </c>
      <c r="Q28" s="21" t="s">
        <v>43</v>
      </c>
      <c r="R28" s="21" t="s">
        <v>98</v>
      </c>
      <c r="S28" s="21" t="s">
        <v>243</v>
      </c>
      <c r="T28" s="28">
        <v>208.56</v>
      </c>
      <c r="U28" s="20">
        <v>6</v>
      </c>
      <c r="V28" s="29">
        <v>0</v>
      </c>
      <c r="W28" s="30">
        <v>52.14</v>
      </c>
    </row>
    <row r="29" ht="75.75" spans="1:23">
      <c r="A29" s="20">
        <v>63</v>
      </c>
      <c r="B29" s="21" t="s">
        <v>244</v>
      </c>
      <c r="C29" s="22" t="str">
        <f t="shared" si="0"/>
        <v>Oct</v>
      </c>
      <c r="D29" s="23">
        <v>2012</v>
      </c>
      <c r="E29" s="24">
        <v>41555</v>
      </c>
      <c r="F29" s="24">
        <v>41646</v>
      </c>
      <c r="G29" s="21" t="s">
        <v>48</v>
      </c>
      <c r="H29" s="21" t="s">
        <v>246</v>
      </c>
      <c r="I29" s="21" t="s">
        <v>247</v>
      </c>
      <c r="J29" s="21" t="s">
        <v>25</v>
      </c>
      <c r="K29" s="21" t="s">
        <v>26</v>
      </c>
      <c r="L29" s="21" t="s">
        <v>39</v>
      </c>
      <c r="M29" s="21" t="s">
        <v>40</v>
      </c>
      <c r="N29" s="20">
        <v>90004</v>
      </c>
      <c r="O29" s="21" t="s">
        <v>41</v>
      </c>
      <c r="P29" s="21" t="s">
        <v>248</v>
      </c>
      <c r="Q29" s="21" t="s">
        <v>164</v>
      </c>
      <c r="R29" s="21" t="s">
        <v>202</v>
      </c>
      <c r="S29" s="21" t="s">
        <v>249</v>
      </c>
      <c r="T29" s="28">
        <v>13.98</v>
      </c>
      <c r="U29" s="20">
        <v>2</v>
      </c>
      <c r="V29" s="29">
        <v>0</v>
      </c>
      <c r="W29" s="30">
        <v>6.1512</v>
      </c>
    </row>
    <row r="30" ht="60.75" spans="1:23">
      <c r="A30" s="20">
        <v>67</v>
      </c>
      <c r="B30" s="21" t="s">
        <v>250</v>
      </c>
      <c r="C30" s="22" t="str">
        <f t="shared" si="0"/>
        <v>Oct</v>
      </c>
      <c r="D30" s="23">
        <v>2012</v>
      </c>
      <c r="E30" s="24">
        <v>41556</v>
      </c>
      <c r="F30" s="24">
        <v>41647</v>
      </c>
      <c r="G30" s="21" t="s">
        <v>48</v>
      </c>
      <c r="H30" s="21" t="s">
        <v>251</v>
      </c>
      <c r="I30" s="21" t="s">
        <v>252</v>
      </c>
      <c r="J30" s="21" t="s">
        <v>84</v>
      </c>
      <c r="K30" s="21" t="s">
        <v>26</v>
      </c>
      <c r="L30" s="21" t="s">
        <v>253</v>
      </c>
      <c r="M30" s="21" t="s">
        <v>179</v>
      </c>
      <c r="N30" s="20">
        <v>60610</v>
      </c>
      <c r="O30" s="21" t="s">
        <v>87</v>
      </c>
      <c r="P30" s="21" t="s">
        <v>254</v>
      </c>
      <c r="Q30" s="21" t="s">
        <v>31</v>
      </c>
      <c r="R30" s="21" t="s">
        <v>131</v>
      </c>
      <c r="S30" s="21" t="s">
        <v>255</v>
      </c>
      <c r="T30" s="28">
        <v>213.115</v>
      </c>
      <c r="U30" s="20">
        <v>5</v>
      </c>
      <c r="V30" s="29">
        <v>0.3</v>
      </c>
      <c r="W30" s="30">
        <v>-15.2225</v>
      </c>
    </row>
    <row r="31" ht="90.75" spans="1:23">
      <c r="A31" s="20">
        <v>68</v>
      </c>
      <c r="B31" s="21" t="s">
        <v>256</v>
      </c>
      <c r="C31" s="22" t="str">
        <f t="shared" si="0"/>
        <v>Oct</v>
      </c>
      <c r="D31" s="23">
        <v>2011</v>
      </c>
      <c r="E31" s="24">
        <v>41557</v>
      </c>
      <c r="F31" s="24">
        <v>41648</v>
      </c>
      <c r="G31" s="21" t="s">
        <v>48</v>
      </c>
      <c r="H31" s="21" t="s">
        <v>257</v>
      </c>
      <c r="I31" s="21" t="s">
        <v>258</v>
      </c>
      <c r="J31" s="21" t="s">
        <v>38</v>
      </c>
      <c r="K31" s="21" t="s">
        <v>26</v>
      </c>
      <c r="L31" s="21" t="s">
        <v>259</v>
      </c>
      <c r="M31" s="21" t="s">
        <v>260</v>
      </c>
      <c r="N31" s="20">
        <v>85234</v>
      </c>
      <c r="O31" s="21" t="s">
        <v>41</v>
      </c>
      <c r="P31" s="21" t="s">
        <v>261</v>
      </c>
      <c r="Q31" s="21" t="s">
        <v>43</v>
      </c>
      <c r="R31" s="21" t="s">
        <v>113</v>
      </c>
      <c r="S31" s="21" t="s">
        <v>262</v>
      </c>
      <c r="T31" s="28">
        <v>1113.024</v>
      </c>
      <c r="U31" s="20">
        <v>8</v>
      </c>
      <c r="V31" s="29">
        <v>0.2</v>
      </c>
      <c r="W31" s="30">
        <v>111.3024</v>
      </c>
    </row>
    <row r="32" ht="90.75" spans="1:23">
      <c r="A32" s="20">
        <v>70</v>
      </c>
      <c r="B32" s="21" t="s">
        <v>263</v>
      </c>
      <c r="C32" s="22" t="str">
        <f t="shared" si="0"/>
        <v>Oct</v>
      </c>
      <c r="D32" s="23">
        <v>2013</v>
      </c>
      <c r="E32" s="24">
        <v>41558</v>
      </c>
      <c r="F32" s="24">
        <v>41649</v>
      </c>
      <c r="G32" s="21" t="s">
        <v>159</v>
      </c>
      <c r="H32" s="21" t="s">
        <v>264</v>
      </c>
      <c r="I32" s="21" t="s">
        <v>265</v>
      </c>
      <c r="J32" s="21" t="s">
        <v>25</v>
      </c>
      <c r="K32" s="21" t="s">
        <v>26</v>
      </c>
      <c r="L32" s="21" t="s">
        <v>266</v>
      </c>
      <c r="M32" s="21" t="s">
        <v>267</v>
      </c>
      <c r="N32" s="20">
        <v>22153</v>
      </c>
      <c r="O32" s="21" t="s">
        <v>29</v>
      </c>
      <c r="P32" s="21" t="s">
        <v>268</v>
      </c>
      <c r="Q32" s="21" t="s">
        <v>43</v>
      </c>
      <c r="R32" s="21" t="s">
        <v>70</v>
      </c>
      <c r="S32" s="21" t="s">
        <v>269</v>
      </c>
      <c r="T32" s="28">
        <v>75.88</v>
      </c>
      <c r="U32" s="20">
        <v>2</v>
      </c>
      <c r="V32" s="29">
        <v>0</v>
      </c>
      <c r="W32" s="30">
        <v>35.6636</v>
      </c>
    </row>
    <row r="33" ht="90.75" spans="1:23">
      <c r="A33" s="20">
        <v>71</v>
      </c>
      <c r="B33" s="21" t="s">
        <v>270</v>
      </c>
      <c r="C33" s="22" t="str">
        <f t="shared" si="0"/>
        <v>Oct</v>
      </c>
      <c r="D33" s="23">
        <v>2013</v>
      </c>
      <c r="E33" s="24">
        <v>41559</v>
      </c>
      <c r="F33" s="24">
        <v>41650</v>
      </c>
      <c r="G33" s="21" t="s">
        <v>48</v>
      </c>
      <c r="H33" s="21" t="s">
        <v>272</v>
      </c>
      <c r="I33" s="21" t="s">
        <v>273</v>
      </c>
      <c r="J33" s="21" t="s">
        <v>25</v>
      </c>
      <c r="K33" s="21" t="s">
        <v>26</v>
      </c>
      <c r="L33" s="21" t="s">
        <v>232</v>
      </c>
      <c r="M33" s="21" t="s">
        <v>233</v>
      </c>
      <c r="N33" s="20">
        <v>10009</v>
      </c>
      <c r="O33" s="21" t="s">
        <v>129</v>
      </c>
      <c r="P33" s="21" t="s">
        <v>274</v>
      </c>
      <c r="Q33" s="21" t="s">
        <v>43</v>
      </c>
      <c r="R33" s="21" t="s">
        <v>78</v>
      </c>
      <c r="S33" s="21" t="s">
        <v>275</v>
      </c>
      <c r="T33" s="28">
        <v>4.616</v>
      </c>
      <c r="U33" s="20">
        <v>1</v>
      </c>
      <c r="V33" s="29">
        <v>0.2</v>
      </c>
      <c r="W33" s="30">
        <v>1.731</v>
      </c>
    </row>
    <row r="34" ht="90.75" spans="1:23">
      <c r="A34" s="20">
        <v>72</v>
      </c>
      <c r="B34" s="21" t="s">
        <v>276</v>
      </c>
      <c r="C34" s="22" t="str">
        <f t="shared" si="0"/>
        <v>Oct</v>
      </c>
      <c r="D34" s="23">
        <v>2014</v>
      </c>
      <c r="E34" s="24">
        <v>41560</v>
      </c>
      <c r="F34" s="24">
        <v>41651</v>
      </c>
      <c r="G34" s="21" t="s">
        <v>22</v>
      </c>
      <c r="H34" s="21" t="s">
        <v>147</v>
      </c>
      <c r="I34" s="21" t="s">
        <v>148</v>
      </c>
      <c r="J34" s="21" t="s">
        <v>25</v>
      </c>
      <c r="K34" s="21" t="s">
        <v>26</v>
      </c>
      <c r="L34" s="21" t="s">
        <v>278</v>
      </c>
      <c r="M34" s="21" t="s">
        <v>209</v>
      </c>
      <c r="N34" s="20">
        <v>49201</v>
      </c>
      <c r="O34" s="21" t="s">
        <v>87</v>
      </c>
      <c r="P34" s="21" t="s">
        <v>279</v>
      </c>
      <c r="Q34" s="21" t="s">
        <v>43</v>
      </c>
      <c r="R34" s="21" t="s">
        <v>70</v>
      </c>
      <c r="S34" s="21" t="s">
        <v>280</v>
      </c>
      <c r="T34" s="28">
        <v>19.05</v>
      </c>
      <c r="U34" s="20">
        <v>3</v>
      </c>
      <c r="V34" s="29">
        <v>0</v>
      </c>
      <c r="W34" s="30">
        <v>8.763</v>
      </c>
    </row>
    <row r="35" ht="60.75" spans="1:23">
      <c r="A35" s="20">
        <v>73</v>
      </c>
      <c r="B35" s="21" t="s">
        <v>281</v>
      </c>
      <c r="C35" s="22" t="str">
        <f t="shared" si="0"/>
        <v>Oct</v>
      </c>
      <c r="D35" s="23">
        <v>2012</v>
      </c>
      <c r="E35" s="24">
        <v>41561</v>
      </c>
      <c r="F35" s="24">
        <v>41652</v>
      </c>
      <c r="G35" s="21" t="s">
        <v>48</v>
      </c>
      <c r="H35" s="21" t="s">
        <v>282</v>
      </c>
      <c r="I35" s="21" t="s">
        <v>283</v>
      </c>
      <c r="J35" s="21" t="s">
        <v>25</v>
      </c>
      <c r="K35" s="21" t="s">
        <v>26</v>
      </c>
      <c r="L35" s="21" t="s">
        <v>284</v>
      </c>
      <c r="M35" s="21" t="s">
        <v>285</v>
      </c>
      <c r="N35" s="20">
        <v>38109</v>
      </c>
      <c r="O35" s="21" t="s">
        <v>29</v>
      </c>
      <c r="P35" s="21" t="s">
        <v>286</v>
      </c>
      <c r="Q35" s="21" t="s">
        <v>31</v>
      </c>
      <c r="R35" s="21" t="s">
        <v>131</v>
      </c>
      <c r="S35" s="21" t="s">
        <v>287</v>
      </c>
      <c r="T35" s="28">
        <v>831.936</v>
      </c>
      <c r="U35" s="20">
        <v>8</v>
      </c>
      <c r="V35" s="29">
        <v>0.2</v>
      </c>
      <c r="W35" s="30">
        <v>-114.3912</v>
      </c>
    </row>
    <row r="36" ht="30.75" spans="1:23">
      <c r="A36" s="20">
        <v>76</v>
      </c>
      <c r="B36" s="21" t="s">
        <v>288</v>
      </c>
      <c r="C36" s="22" t="str">
        <f t="shared" si="0"/>
        <v>Oct</v>
      </c>
      <c r="D36" s="23">
        <v>2014</v>
      </c>
      <c r="E36" s="24">
        <v>41562</v>
      </c>
      <c r="F36" s="24">
        <v>41653</v>
      </c>
      <c r="G36" s="21" t="s">
        <v>159</v>
      </c>
      <c r="H36" s="21" t="s">
        <v>289</v>
      </c>
      <c r="I36" s="21" t="s">
        <v>290</v>
      </c>
      <c r="J36" s="21" t="s">
        <v>38</v>
      </c>
      <c r="K36" s="21" t="s">
        <v>26</v>
      </c>
      <c r="L36" s="21" t="s">
        <v>155</v>
      </c>
      <c r="M36" s="21" t="s">
        <v>86</v>
      </c>
      <c r="N36" s="20">
        <v>77041</v>
      </c>
      <c r="O36" s="21" t="s">
        <v>87</v>
      </c>
      <c r="P36" s="21" t="s">
        <v>291</v>
      </c>
      <c r="Q36" s="21" t="s">
        <v>43</v>
      </c>
      <c r="R36" s="21" t="s">
        <v>78</v>
      </c>
      <c r="S36" s="21" t="s">
        <v>292</v>
      </c>
      <c r="T36" s="28">
        <v>1.248</v>
      </c>
      <c r="U36" s="20">
        <v>3</v>
      </c>
      <c r="V36" s="29">
        <v>0.8</v>
      </c>
      <c r="W36" s="30">
        <v>-1.9344</v>
      </c>
    </row>
    <row r="37" ht="90.75" spans="1:23">
      <c r="A37" s="20">
        <v>79</v>
      </c>
      <c r="B37" s="21" t="s">
        <v>293</v>
      </c>
      <c r="C37" s="22" t="str">
        <f t="shared" si="0"/>
        <v>Oct</v>
      </c>
      <c r="D37" s="23">
        <v>2011</v>
      </c>
      <c r="E37" s="24">
        <v>41563</v>
      </c>
      <c r="F37" s="24">
        <v>41654</v>
      </c>
      <c r="G37" s="21" t="s">
        <v>22</v>
      </c>
      <c r="H37" s="21" t="s">
        <v>282</v>
      </c>
      <c r="I37" s="21" t="s">
        <v>283</v>
      </c>
      <c r="J37" s="21" t="s">
        <v>25</v>
      </c>
      <c r="K37" s="21" t="s">
        <v>26</v>
      </c>
      <c r="L37" s="21" t="s">
        <v>155</v>
      </c>
      <c r="M37" s="21" t="s">
        <v>86</v>
      </c>
      <c r="N37" s="20">
        <v>77070</v>
      </c>
      <c r="O37" s="21" t="s">
        <v>87</v>
      </c>
      <c r="P37" s="21" t="s">
        <v>294</v>
      </c>
      <c r="Q37" s="21" t="s">
        <v>31</v>
      </c>
      <c r="R37" s="21" t="s">
        <v>61</v>
      </c>
      <c r="S37" s="21" t="s">
        <v>295</v>
      </c>
      <c r="T37" s="28">
        <v>19.3</v>
      </c>
      <c r="U37" s="20">
        <v>5</v>
      </c>
      <c r="V37" s="29">
        <v>0.6</v>
      </c>
      <c r="W37" s="30">
        <v>-14.475</v>
      </c>
    </row>
    <row r="38" ht="60.75" spans="1:23">
      <c r="A38" s="20">
        <v>80</v>
      </c>
      <c r="B38" s="21" t="s">
        <v>296</v>
      </c>
      <c r="C38" s="22" t="str">
        <f t="shared" si="0"/>
        <v>Oct</v>
      </c>
      <c r="D38" s="23">
        <v>2013</v>
      </c>
      <c r="E38" s="24">
        <v>41564</v>
      </c>
      <c r="F38" s="24">
        <v>41655</v>
      </c>
      <c r="G38" s="21" t="s">
        <v>159</v>
      </c>
      <c r="H38" s="21" t="s">
        <v>298</v>
      </c>
      <c r="I38" s="21" t="s">
        <v>299</v>
      </c>
      <c r="J38" s="21" t="s">
        <v>38</v>
      </c>
      <c r="K38" s="21" t="s">
        <v>26</v>
      </c>
      <c r="L38" s="21" t="s">
        <v>300</v>
      </c>
      <c r="M38" s="21" t="s">
        <v>301</v>
      </c>
      <c r="N38" s="20">
        <v>35601</v>
      </c>
      <c r="O38" s="21" t="s">
        <v>29</v>
      </c>
      <c r="P38" s="21" t="s">
        <v>302</v>
      </c>
      <c r="Q38" s="21" t="s">
        <v>43</v>
      </c>
      <c r="R38" s="21" t="s">
        <v>89</v>
      </c>
      <c r="S38" s="21" t="s">
        <v>303</v>
      </c>
      <c r="T38" s="28">
        <v>208.16</v>
      </c>
      <c r="U38" s="20">
        <v>1</v>
      </c>
      <c r="V38" s="29">
        <v>0</v>
      </c>
      <c r="W38" s="30">
        <v>56.2032</v>
      </c>
    </row>
    <row r="39" ht="90.75" spans="1:23">
      <c r="A39" s="20">
        <v>82</v>
      </c>
      <c r="B39" s="21" t="s">
        <v>304</v>
      </c>
      <c r="C39" s="22" t="str">
        <f t="shared" si="0"/>
        <v>Oct</v>
      </c>
      <c r="D39" s="23">
        <v>2011</v>
      </c>
      <c r="E39" s="24">
        <v>41565</v>
      </c>
      <c r="F39" s="24">
        <v>41656</v>
      </c>
      <c r="G39" s="21" t="s">
        <v>48</v>
      </c>
      <c r="H39" s="21" t="s">
        <v>306</v>
      </c>
      <c r="I39" s="21" t="s">
        <v>307</v>
      </c>
      <c r="J39" s="21" t="s">
        <v>25</v>
      </c>
      <c r="K39" s="21" t="s">
        <v>26</v>
      </c>
      <c r="L39" s="21" t="s">
        <v>111</v>
      </c>
      <c r="M39" s="21" t="s">
        <v>40</v>
      </c>
      <c r="N39" s="20">
        <v>94122</v>
      </c>
      <c r="O39" s="21" t="s">
        <v>41</v>
      </c>
      <c r="P39" s="21" t="s">
        <v>308</v>
      </c>
      <c r="Q39" s="21" t="s">
        <v>43</v>
      </c>
      <c r="R39" s="21" t="s">
        <v>113</v>
      </c>
      <c r="S39" s="21" t="s">
        <v>309</v>
      </c>
      <c r="T39" s="28">
        <v>14.9</v>
      </c>
      <c r="U39" s="20">
        <v>5</v>
      </c>
      <c r="V39" s="29">
        <v>0</v>
      </c>
      <c r="W39" s="30">
        <v>4.172</v>
      </c>
    </row>
    <row r="40" ht="75.75" spans="1:23">
      <c r="A40" s="20">
        <v>84</v>
      </c>
      <c r="B40" s="21" t="s">
        <v>310</v>
      </c>
      <c r="C40" s="22" t="str">
        <f t="shared" si="0"/>
        <v>Oct</v>
      </c>
      <c r="D40" s="23">
        <v>2012</v>
      </c>
      <c r="E40" s="24">
        <v>41566</v>
      </c>
      <c r="F40" s="24">
        <v>41657</v>
      </c>
      <c r="G40" s="21" t="s">
        <v>48</v>
      </c>
      <c r="H40" s="21" t="s">
        <v>311</v>
      </c>
      <c r="I40" s="21" t="s">
        <v>312</v>
      </c>
      <c r="J40" s="21" t="s">
        <v>38</v>
      </c>
      <c r="K40" s="21" t="s">
        <v>26</v>
      </c>
      <c r="L40" s="21" t="s">
        <v>313</v>
      </c>
      <c r="M40" s="21" t="s">
        <v>68</v>
      </c>
      <c r="N40" s="20">
        <v>27707</v>
      </c>
      <c r="O40" s="21" t="s">
        <v>29</v>
      </c>
      <c r="P40" s="21" t="s">
        <v>314</v>
      </c>
      <c r="Q40" s="21" t="s">
        <v>43</v>
      </c>
      <c r="R40" s="21" t="s">
        <v>172</v>
      </c>
      <c r="S40" s="21" t="s">
        <v>315</v>
      </c>
      <c r="T40" s="28">
        <v>200.984</v>
      </c>
      <c r="U40" s="20">
        <v>7</v>
      </c>
      <c r="V40" s="29">
        <v>0.2</v>
      </c>
      <c r="W40" s="30">
        <v>62.8075</v>
      </c>
    </row>
    <row r="41" ht="45.75" spans="1:23">
      <c r="A41" s="20">
        <v>85</v>
      </c>
      <c r="B41" s="21" t="s">
        <v>316</v>
      </c>
      <c r="C41" s="22" t="str">
        <f t="shared" si="0"/>
        <v>Oct</v>
      </c>
      <c r="D41" s="23">
        <v>2014</v>
      </c>
      <c r="E41" s="24">
        <v>41567</v>
      </c>
      <c r="F41" s="24">
        <v>41658</v>
      </c>
      <c r="G41" s="21" t="s">
        <v>159</v>
      </c>
      <c r="H41" s="21" t="s">
        <v>318</v>
      </c>
      <c r="I41" s="21" t="s">
        <v>319</v>
      </c>
      <c r="J41" s="21" t="s">
        <v>84</v>
      </c>
      <c r="K41" s="21" t="s">
        <v>26</v>
      </c>
      <c r="L41" s="21" t="s">
        <v>253</v>
      </c>
      <c r="M41" s="21" t="s">
        <v>179</v>
      </c>
      <c r="N41" s="20">
        <v>60623</v>
      </c>
      <c r="O41" s="21" t="s">
        <v>87</v>
      </c>
      <c r="P41" s="21" t="s">
        <v>320</v>
      </c>
      <c r="Q41" s="21" t="s">
        <v>43</v>
      </c>
      <c r="R41" s="21" t="s">
        <v>98</v>
      </c>
      <c r="S41" s="21" t="s">
        <v>321</v>
      </c>
      <c r="T41" s="28">
        <v>230.376</v>
      </c>
      <c r="U41" s="20">
        <v>3</v>
      </c>
      <c r="V41" s="29">
        <v>0.2</v>
      </c>
      <c r="W41" s="30">
        <v>-48.9549</v>
      </c>
    </row>
    <row r="42" ht="45.75" spans="1:23">
      <c r="A42" s="20">
        <v>86</v>
      </c>
      <c r="B42" s="21" t="s">
        <v>322</v>
      </c>
      <c r="C42" s="22" t="str">
        <f t="shared" si="0"/>
        <v>Oct</v>
      </c>
      <c r="D42" s="23">
        <v>2014</v>
      </c>
      <c r="E42" s="24">
        <v>41568</v>
      </c>
      <c r="F42" s="24">
        <v>41659</v>
      </c>
      <c r="G42" s="21" t="s">
        <v>22</v>
      </c>
      <c r="H42" s="21" t="s">
        <v>206</v>
      </c>
      <c r="I42" s="21" t="s">
        <v>207</v>
      </c>
      <c r="J42" s="21" t="s">
        <v>25</v>
      </c>
      <c r="K42" s="21" t="s">
        <v>26</v>
      </c>
      <c r="L42" s="21" t="s">
        <v>324</v>
      </c>
      <c r="M42" s="21" t="s">
        <v>325</v>
      </c>
      <c r="N42" s="20">
        <v>29203</v>
      </c>
      <c r="O42" s="21" t="s">
        <v>29</v>
      </c>
      <c r="P42" s="21" t="s">
        <v>326</v>
      </c>
      <c r="Q42" s="21" t="s">
        <v>31</v>
      </c>
      <c r="R42" s="21" t="s">
        <v>131</v>
      </c>
      <c r="S42" s="21" t="s">
        <v>327</v>
      </c>
      <c r="T42" s="28">
        <v>301.96</v>
      </c>
      <c r="U42" s="20">
        <v>2</v>
      </c>
      <c r="V42" s="29">
        <v>0</v>
      </c>
      <c r="W42" s="30">
        <v>33.2156</v>
      </c>
    </row>
    <row r="43" ht="75.75" spans="1:23">
      <c r="A43" s="20">
        <v>87</v>
      </c>
      <c r="B43" s="21" t="s">
        <v>328</v>
      </c>
      <c r="C43" s="22" t="str">
        <f t="shared" si="0"/>
        <v>Oct</v>
      </c>
      <c r="D43" s="23">
        <v>2014</v>
      </c>
      <c r="E43" s="24">
        <v>41569</v>
      </c>
      <c r="F43" s="24">
        <v>41660</v>
      </c>
      <c r="G43" s="21" t="s">
        <v>48</v>
      </c>
      <c r="H43" s="21" t="s">
        <v>329</v>
      </c>
      <c r="I43" s="21" t="s">
        <v>330</v>
      </c>
      <c r="J43" s="21" t="s">
        <v>25</v>
      </c>
      <c r="K43" s="21" t="s">
        <v>26</v>
      </c>
      <c r="L43" s="21" t="s">
        <v>331</v>
      </c>
      <c r="M43" s="21" t="s">
        <v>200</v>
      </c>
      <c r="N43" s="20">
        <v>55901</v>
      </c>
      <c r="O43" s="21" t="s">
        <v>87</v>
      </c>
      <c r="P43" s="21" t="s">
        <v>332</v>
      </c>
      <c r="Q43" s="21" t="s">
        <v>164</v>
      </c>
      <c r="R43" s="21" t="s">
        <v>202</v>
      </c>
      <c r="S43" s="21" t="s">
        <v>333</v>
      </c>
      <c r="T43" s="28">
        <v>19.99</v>
      </c>
      <c r="U43" s="20">
        <v>1</v>
      </c>
      <c r="V43" s="29">
        <v>0</v>
      </c>
      <c r="W43" s="30">
        <v>6.7966</v>
      </c>
    </row>
    <row r="44" ht="45.75" spans="1:23">
      <c r="A44" s="20">
        <v>89</v>
      </c>
      <c r="B44" s="21" t="s">
        <v>334</v>
      </c>
      <c r="C44" s="22" t="str">
        <f t="shared" si="0"/>
        <v>Oct</v>
      </c>
      <c r="D44" s="23">
        <v>2013</v>
      </c>
      <c r="E44" s="24">
        <v>41570</v>
      </c>
      <c r="F44" s="24">
        <v>41661</v>
      </c>
      <c r="G44" s="21" t="s">
        <v>22</v>
      </c>
      <c r="H44" s="21" t="s">
        <v>335</v>
      </c>
      <c r="I44" s="21" t="s">
        <v>336</v>
      </c>
      <c r="J44" s="21" t="s">
        <v>84</v>
      </c>
      <c r="K44" s="21" t="s">
        <v>26</v>
      </c>
      <c r="L44" s="21" t="s">
        <v>155</v>
      </c>
      <c r="M44" s="21" t="s">
        <v>86</v>
      </c>
      <c r="N44" s="20">
        <v>77095</v>
      </c>
      <c r="O44" s="21" t="s">
        <v>87</v>
      </c>
      <c r="P44" s="21" t="s">
        <v>337</v>
      </c>
      <c r="Q44" s="21" t="s">
        <v>43</v>
      </c>
      <c r="R44" s="21" t="s">
        <v>98</v>
      </c>
      <c r="S44" s="21" t="s">
        <v>338</v>
      </c>
      <c r="T44" s="28">
        <v>158.368</v>
      </c>
      <c r="U44" s="20">
        <v>7</v>
      </c>
      <c r="V44" s="29">
        <v>0.2</v>
      </c>
      <c r="W44" s="30">
        <v>13.8572</v>
      </c>
    </row>
    <row r="45" ht="60.75" spans="1:23">
      <c r="A45" s="20">
        <v>90</v>
      </c>
      <c r="B45" s="21" t="s">
        <v>339</v>
      </c>
      <c r="C45" s="22" t="str">
        <f t="shared" si="0"/>
        <v>Oct</v>
      </c>
      <c r="D45" s="23">
        <v>2013</v>
      </c>
      <c r="E45" s="24">
        <v>41571</v>
      </c>
      <c r="F45" s="24">
        <v>41662</v>
      </c>
      <c r="G45" s="21" t="s">
        <v>48</v>
      </c>
      <c r="H45" s="21" t="s">
        <v>341</v>
      </c>
      <c r="I45" s="21" t="s">
        <v>342</v>
      </c>
      <c r="J45" s="21" t="s">
        <v>38</v>
      </c>
      <c r="K45" s="21" t="s">
        <v>26</v>
      </c>
      <c r="L45" s="21" t="s">
        <v>39</v>
      </c>
      <c r="M45" s="21" t="s">
        <v>40</v>
      </c>
      <c r="N45" s="20">
        <v>90036</v>
      </c>
      <c r="O45" s="21" t="s">
        <v>41</v>
      </c>
      <c r="P45" s="21" t="s">
        <v>343</v>
      </c>
      <c r="Q45" s="21" t="s">
        <v>43</v>
      </c>
      <c r="R45" s="21" t="s">
        <v>113</v>
      </c>
      <c r="S45" s="21" t="s">
        <v>344</v>
      </c>
      <c r="T45" s="28">
        <v>20.1</v>
      </c>
      <c r="U45" s="20">
        <v>3</v>
      </c>
      <c r="V45" s="29">
        <v>0</v>
      </c>
      <c r="W45" s="30">
        <v>6.633</v>
      </c>
    </row>
    <row r="46" ht="30.75" spans="1:23">
      <c r="A46" s="20">
        <v>93</v>
      </c>
      <c r="B46" s="21" t="s">
        <v>345</v>
      </c>
      <c r="C46" s="22" t="str">
        <f t="shared" si="0"/>
        <v>Oct</v>
      </c>
      <c r="D46" s="23">
        <v>2012</v>
      </c>
      <c r="E46" s="24">
        <v>41572</v>
      </c>
      <c r="F46" s="24">
        <v>41663</v>
      </c>
      <c r="G46" s="21" t="s">
        <v>22</v>
      </c>
      <c r="H46" s="21" t="s">
        <v>346</v>
      </c>
      <c r="I46" s="21" t="s">
        <v>347</v>
      </c>
      <c r="J46" s="21" t="s">
        <v>25</v>
      </c>
      <c r="K46" s="21" t="s">
        <v>26</v>
      </c>
      <c r="L46" s="21" t="s">
        <v>348</v>
      </c>
      <c r="M46" s="21" t="s">
        <v>200</v>
      </c>
      <c r="N46" s="20">
        <v>55407</v>
      </c>
      <c r="O46" s="21" t="s">
        <v>87</v>
      </c>
      <c r="P46" s="21" t="s">
        <v>349</v>
      </c>
      <c r="Q46" s="21" t="s">
        <v>43</v>
      </c>
      <c r="R46" s="21" t="s">
        <v>70</v>
      </c>
      <c r="S46" s="21" t="s">
        <v>350</v>
      </c>
      <c r="T46" s="28">
        <v>12.96</v>
      </c>
      <c r="U46" s="20">
        <v>2</v>
      </c>
      <c r="V46" s="29">
        <v>0</v>
      </c>
      <c r="W46" s="30">
        <v>6.2208</v>
      </c>
    </row>
    <row r="47" ht="75.75" spans="1:23">
      <c r="A47" s="20">
        <v>96</v>
      </c>
      <c r="B47" s="21" t="s">
        <v>351</v>
      </c>
      <c r="C47" s="22" t="str">
        <f t="shared" si="0"/>
        <v>Oct</v>
      </c>
      <c r="D47" s="23">
        <v>2014</v>
      </c>
      <c r="E47" s="24">
        <v>41573</v>
      </c>
      <c r="F47" s="24">
        <v>41664</v>
      </c>
      <c r="G47" s="21" t="s">
        <v>48</v>
      </c>
      <c r="H47" s="21" t="s">
        <v>353</v>
      </c>
      <c r="I47" s="21" t="s">
        <v>354</v>
      </c>
      <c r="J47" s="21" t="s">
        <v>84</v>
      </c>
      <c r="K47" s="21" t="s">
        <v>26</v>
      </c>
      <c r="L47" s="21" t="s">
        <v>355</v>
      </c>
      <c r="M47" s="21" t="s">
        <v>356</v>
      </c>
      <c r="N47" s="20">
        <v>97206</v>
      </c>
      <c r="O47" s="21" t="s">
        <v>41</v>
      </c>
      <c r="P47" s="21" t="s">
        <v>357</v>
      </c>
      <c r="Q47" s="21" t="s">
        <v>43</v>
      </c>
      <c r="R47" s="21" t="s">
        <v>78</v>
      </c>
      <c r="S47" s="21" t="s">
        <v>358</v>
      </c>
      <c r="T47" s="28">
        <v>5.682</v>
      </c>
      <c r="U47" s="20">
        <v>1</v>
      </c>
      <c r="V47" s="29">
        <v>0.7</v>
      </c>
      <c r="W47" s="30">
        <v>-3.788</v>
      </c>
    </row>
    <row r="48" ht="60.75" spans="1:23">
      <c r="A48" s="20">
        <v>97</v>
      </c>
      <c r="B48" s="21" t="s">
        <v>359</v>
      </c>
      <c r="C48" s="22" t="str">
        <f t="shared" si="0"/>
        <v>Oct</v>
      </c>
      <c r="D48" s="23">
        <v>2014</v>
      </c>
      <c r="E48" s="24">
        <v>41574</v>
      </c>
      <c r="F48" s="24">
        <v>41665</v>
      </c>
      <c r="G48" s="21" t="s">
        <v>22</v>
      </c>
      <c r="H48" s="21" t="s">
        <v>360</v>
      </c>
      <c r="I48" s="21" t="s">
        <v>361</v>
      </c>
      <c r="J48" s="21" t="s">
        <v>84</v>
      </c>
      <c r="K48" s="21" t="s">
        <v>26</v>
      </c>
      <c r="L48" s="21" t="s">
        <v>232</v>
      </c>
      <c r="M48" s="21" t="s">
        <v>233</v>
      </c>
      <c r="N48" s="20">
        <v>10009</v>
      </c>
      <c r="O48" s="21" t="s">
        <v>129</v>
      </c>
      <c r="P48" s="21" t="s">
        <v>362</v>
      </c>
      <c r="Q48" s="21" t="s">
        <v>31</v>
      </c>
      <c r="R48" s="21" t="s">
        <v>61</v>
      </c>
      <c r="S48" s="21" t="s">
        <v>363</v>
      </c>
      <c r="T48" s="28">
        <v>96.53</v>
      </c>
      <c r="U48" s="20">
        <v>7</v>
      </c>
      <c r="V48" s="29">
        <v>0</v>
      </c>
      <c r="W48" s="30">
        <v>40.5426</v>
      </c>
    </row>
    <row r="49" ht="45.75" spans="1:23">
      <c r="A49" s="20">
        <v>98</v>
      </c>
      <c r="B49" s="21" t="s">
        <v>364</v>
      </c>
      <c r="C49" s="22" t="str">
        <f t="shared" si="0"/>
        <v>Oct</v>
      </c>
      <c r="D49" s="23">
        <v>2014</v>
      </c>
      <c r="E49" s="24">
        <v>41575</v>
      </c>
      <c r="F49" s="24">
        <v>41666</v>
      </c>
      <c r="G49" s="21" t="s">
        <v>159</v>
      </c>
      <c r="H49" s="21" t="s">
        <v>366</v>
      </c>
      <c r="I49" s="21" t="s">
        <v>367</v>
      </c>
      <c r="J49" s="21" t="s">
        <v>25</v>
      </c>
      <c r="K49" s="21" t="s">
        <v>26</v>
      </c>
      <c r="L49" s="21" t="s">
        <v>111</v>
      </c>
      <c r="M49" s="21" t="s">
        <v>40</v>
      </c>
      <c r="N49" s="20">
        <v>94122</v>
      </c>
      <c r="O49" s="21" t="s">
        <v>41</v>
      </c>
      <c r="P49" s="21" t="s">
        <v>368</v>
      </c>
      <c r="Q49" s="21" t="s">
        <v>43</v>
      </c>
      <c r="R49" s="21" t="s">
        <v>78</v>
      </c>
      <c r="S49" s="21" t="s">
        <v>369</v>
      </c>
      <c r="T49" s="28">
        <v>51.312</v>
      </c>
      <c r="U49" s="20">
        <v>3</v>
      </c>
      <c r="V49" s="29">
        <v>0.2</v>
      </c>
      <c r="W49" s="30">
        <v>17.9592</v>
      </c>
    </row>
  </sheetData>
  <autoFilter xmlns:etc="http://www.wps.cn/officeDocument/2017/etCustomData" ref="A1:XFD49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abSelected="1" topLeftCell="A20" workbookViewId="0">
      <selection activeCell="F35" sqref="F35"/>
    </sheetView>
  </sheetViews>
  <sheetFormatPr defaultColWidth="9" defaultRowHeight="15" outlineLevelCol="1"/>
  <cols>
    <col min="1" max="1" width="16.4285714285714" customWidth="1"/>
    <col min="2" max="2" width="15.5714285714286" customWidth="1"/>
  </cols>
  <sheetData>
    <row r="1" ht="18.75" spans="1:2">
      <c r="A1" s="1" t="s">
        <v>372</v>
      </c>
      <c r="B1" s="2"/>
    </row>
    <row r="2" spans="1:2">
      <c r="A2" s="3"/>
      <c r="B2" s="3"/>
    </row>
    <row r="3" ht="15.75" spans="1:2">
      <c r="A3" s="4" t="s">
        <v>373</v>
      </c>
      <c r="B3" s="4" t="s">
        <v>374</v>
      </c>
    </row>
    <row r="4" ht="15.75" spans="1:2">
      <c r="A4" s="5" t="s">
        <v>31</v>
      </c>
      <c r="B4" s="6">
        <v>6930.6705</v>
      </c>
    </row>
    <row r="5" ht="15.75" spans="1:2">
      <c r="A5" s="5" t="s">
        <v>43</v>
      </c>
      <c r="B5" s="6">
        <v>4174.962</v>
      </c>
    </row>
    <row r="6" ht="15.75" spans="1:2">
      <c r="A6" s="5" t="s">
        <v>164</v>
      </c>
      <c r="B6" s="6">
        <v>1369.662</v>
      </c>
    </row>
    <row r="7" ht="15.75" spans="1:2">
      <c r="A7" s="5" t="s">
        <v>375</v>
      </c>
      <c r="B7" s="6">
        <v>12475.2945</v>
      </c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ht="18.75" spans="1:2">
      <c r="A11" s="1" t="s">
        <v>376</v>
      </c>
      <c r="B11" s="2"/>
    </row>
    <row r="12" spans="1:2">
      <c r="A12" s="3"/>
      <c r="B12" s="3"/>
    </row>
    <row r="13" ht="15.75" spans="1:2">
      <c r="A13" s="4" t="s">
        <v>373</v>
      </c>
      <c r="B13" s="7" t="s">
        <v>377</v>
      </c>
    </row>
    <row r="14" ht="15.75" spans="1:2">
      <c r="A14" s="5" t="s">
        <v>43</v>
      </c>
      <c r="B14" s="6">
        <v>470.4122</v>
      </c>
    </row>
    <row r="15" ht="15.75" spans="1:2">
      <c r="A15" s="5" t="s">
        <v>164</v>
      </c>
      <c r="B15" s="6">
        <v>177.6993</v>
      </c>
    </row>
    <row r="16" ht="15.75" spans="1:2">
      <c r="A16" s="5" t="s">
        <v>31</v>
      </c>
      <c r="B16" s="6">
        <v>-1823.0854</v>
      </c>
    </row>
    <row r="17" ht="15.75" spans="1:2">
      <c r="A17" s="5" t="s">
        <v>375</v>
      </c>
      <c r="B17" s="6">
        <v>-1174.9739</v>
      </c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ht="18.75" spans="1:2">
      <c r="A21" s="1" t="s">
        <v>378</v>
      </c>
      <c r="B21" s="2"/>
    </row>
    <row r="22" spans="1:2">
      <c r="A22" s="3"/>
      <c r="B22" s="3"/>
    </row>
    <row r="23" ht="15.75" spans="1:2">
      <c r="A23" s="4" t="s">
        <v>373</v>
      </c>
      <c r="B23" s="4" t="s">
        <v>374</v>
      </c>
    </row>
    <row r="24" ht="15.75" spans="1:2">
      <c r="A24" s="5" t="s">
        <v>129</v>
      </c>
      <c r="B24" s="6">
        <v>3524.768</v>
      </c>
    </row>
    <row r="25" ht="15.75" spans="1:2">
      <c r="A25" s="5" t="s">
        <v>87</v>
      </c>
      <c r="B25" s="6">
        <v>3112.229</v>
      </c>
    </row>
    <row r="26" ht="15.75" spans="1:2">
      <c r="A26" s="5" t="s">
        <v>29</v>
      </c>
      <c r="B26" s="6">
        <v>2949.6255</v>
      </c>
    </row>
    <row r="27" ht="15.75" spans="1:2">
      <c r="A27" s="5" t="s">
        <v>41</v>
      </c>
      <c r="B27" s="6">
        <v>2888.672</v>
      </c>
    </row>
    <row r="28" ht="15.75" spans="1:2">
      <c r="A28" s="5" t="s">
        <v>375</v>
      </c>
      <c r="B28" s="6">
        <v>12475.2945</v>
      </c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ht="18.75" spans="1:2">
      <c r="A32" s="8" t="s">
        <v>379</v>
      </c>
      <c r="B32" s="2"/>
    </row>
    <row r="33" spans="1:2">
      <c r="A33" s="3"/>
      <c r="B33" s="3"/>
    </row>
    <row r="34" ht="15.75" spans="1:2">
      <c r="A34" s="4" t="s">
        <v>373</v>
      </c>
      <c r="B34" s="4" t="s">
        <v>374</v>
      </c>
    </row>
    <row r="35" ht="15.75" spans="1:2">
      <c r="A35" s="5" t="s">
        <v>380</v>
      </c>
      <c r="B35" s="6">
        <v>8201.2275</v>
      </c>
    </row>
    <row r="36" ht="15.75" spans="1:2">
      <c r="A36" s="5" t="s">
        <v>381</v>
      </c>
      <c r="B36" s="6">
        <v>4274.067</v>
      </c>
    </row>
    <row r="37" ht="15.75" spans="1:2">
      <c r="A37" s="5" t="s">
        <v>375</v>
      </c>
      <c r="B37" s="6">
        <v>12475.2945</v>
      </c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ht="18.75" spans="1:2">
      <c r="A41" s="1" t="s">
        <v>382</v>
      </c>
      <c r="B41" s="2"/>
    </row>
    <row r="42" spans="1:2">
      <c r="A42" s="3"/>
      <c r="B42" s="3"/>
    </row>
    <row r="43" ht="15.75" spans="1:2">
      <c r="A43" s="4" t="s">
        <v>19</v>
      </c>
      <c r="B43" s="4" t="s">
        <v>377</v>
      </c>
    </row>
    <row r="44" ht="15.75" spans="1:2">
      <c r="A44" s="5">
        <v>0</v>
      </c>
      <c r="B44" s="6">
        <v>651.8843</v>
      </c>
    </row>
    <row r="45" ht="15.75" spans="1:2">
      <c r="A45" s="5">
        <v>0.2</v>
      </c>
      <c r="B45" s="6">
        <v>381.5225</v>
      </c>
    </row>
    <row r="46" ht="15.75" spans="1:2">
      <c r="A46" s="5">
        <v>0.3</v>
      </c>
      <c r="B46" s="6">
        <v>-16.2421</v>
      </c>
    </row>
    <row r="47" ht="15.75" spans="1:2">
      <c r="A47" s="5">
        <v>0.45</v>
      </c>
      <c r="B47" s="6">
        <v>-383.031</v>
      </c>
    </row>
    <row r="48" ht="15.75" spans="1:2">
      <c r="A48" s="5">
        <v>0.5</v>
      </c>
      <c r="B48" s="6">
        <v>-1665.0522</v>
      </c>
    </row>
    <row r="49" ht="15.75" spans="1:2">
      <c r="A49" s="5">
        <v>0.6</v>
      </c>
      <c r="B49" s="6">
        <v>-14.475</v>
      </c>
    </row>
    <row r="50" ht="15.75" spans="1:2">
      <c r="A50" s="5">
        <v>0.7</v>
      </c>
      <c r="B50" s="6">
        <v>-3.788</v>
      </c>
    </row>
    <row r="51" ht="15.75" spans="1:2">
      <c r="A51" s="5">
        <v>0.8</v>
      </c>
      <c r="B51" s="6">
        <v>-125.7924</v>
      </c>
    </row>
    <row r="52" ht="15.75" spans="1:2">
      <c r="A52" s="5" t="s">
        <v>375</v>
      </c>
      <c r="B52" s="6">
        <v>-1174.9739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9" sqref="A9"/>
    </sheetView>
  </sheetViews>
  <sheetFormatPr defaultColWidth="9" defaultRowHeight="15"/>
  <sheetData>
    <row r="1" spans="1:1">
      <c r="A1" t="s">
        <v>383</v>
      </c>
    </row>
    <row r="3" spans="1:1">
      <c r="A3" t="s">
        <v>384</v>
      </c>
    </row>
    <row r="5" spans="1:1">
      <c r="A5" t="s">
        <v>385</v>
      </c>
    </row>
    <row r="7" spans="1:1">
      <c r="A7" t="s">
        <v>386</v>
      </c>
    </row>
    <row r="9" spans="1:1">
      <c r="A9" t="s">
        <v>387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Clean_Data</vt:lpstr>
      <vt:lpstr>EDA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shwetaghotekar1313@gmail.com</dc:creator>
  <cp:lastModifiedBy>PC World</cp:lastModifiedBy>
  <dcterms:created xsi:type="dcterms:W3CDTF">2026-03-25T06:48:00Z</dcterms:created>
  <dcterms:modified xsi:type="dcterms:W3CDTF">2026-03-25T09:48:05Z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0B0CBF01E3EF495BBFF52D07E0EDFBDA_12</vt:lpwstr>
  </property>
  <property fmtid="{D5CDD505-2E9C-101B-9397-08002B2CF9AE}" pid="3" name="KSOProductBuildVer">
    <vt:lpwstr>2057-12.2.0.23196</vt:lpwstr>
  </property>
</Properties>
</file>