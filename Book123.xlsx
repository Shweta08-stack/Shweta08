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World\Desktop\"/>
    </mc:Choice>
  </mc:AlternateContent>
  <xr:revisionPtr revIDLastSave="0" documentId="8_{3AE7C1C2-5E6D-4112-8CFC-3769C88B35BD}" xr6:coauthVersionLast="47" xr6:coauthVersionMax="47" xr10:uidLastSave="{00000000-0000-0000-0000-000000000000}"/>
  <bookViews>
    <workbookView xWindow="-120" yWindow="-120" windowWidth="20730" windowHeight="11160" xr2:uid="{486AF2DB-9863-4DF1-B279-E9E8F1954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D17" i="1"/>
  <c r="B17" i="1"/>
  <c r="F14" i="1"/>
  <c r="D11" i="1"/>
  <c r="H6" i="1"/>
  <c r="H5" i="1"/>
  <c r="G8" i="1"/>
  <c r="G7" i="1"/>
  <c r="G6" i="1"/>
  <c r="G5" i="1"/>
</calcChain>
</file>

<file path=xl/sharedStrings.xml><?xml version="1.0" encoding="utf-8"?>
<sst xmlns="http://schemas.openxmlformats.org/spreadsheetml/2006/main" count="28" uniqueCount="23">
  <si>
    <t>dept</t>
  </si>
  <si>
    <t>HR</t>
  </si>
  <si>
    <t>IT</t>
  </si>
  <si>
    <t>SALES</t>
  </si>
  <si>
    <t>MARKETING</t>
  </si>
  <si>
    <t>RATING</t>
  </si>
  <si>
    <t>C</t>
  </si>
  <si>
    <t>A</t>
  </si>
  <si>
    <t>B</t>
  </si>
  <si>
    <t>D</t>
  </si>
  <si>
    <t>salary</t>
  </si>
  <si>
    <t>pass</t>
  </si>
  <si>
    <t>fail</t>
  </si>
  <si>
    <t>yes</t>
  </si>
  <si>
    <t>no</t>
  </si>
  <si>
    <t>amit</t>
  </si>
  <si>
    <t>neha</t>
  </si>
  <si>
    <t>raj</t>
  </si>
  <si>
    <t>sneha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</si>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</sst>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D77B-1379-4B03-AC62-12541D76C883}">
  <dimension ref="A3:I17"/>
  <sheetViews>
    <sheetView tabSelected="1" workbookViewId="0">
      <selection activeCell="E18" sqref="E18"/>
    </sheetView>
  </sheetViews>
  <sheetFormatPr defaultRowHeight="15" x14ac:dyDescent="0.25"/>
  <sheetData>
    <row r="3" spans="1:9" x14ac:dyDescent="0.25">
      <c r="A3" t="s">
        <v>0</v>
      </c>
      <c r="B3" t="s">
        <v>10</v>
      </c>
      <c r="E3" t="s">
        <v>3</v>
      </c>
      <c r="F3" t="s">
        <v>5</v>
      </c>
    </row>
    <row r="5" spans="1:9" x14ac:dyDescent="0.25">
      <c r="A5" t="s">
        <v>1</v>
      </c>
      <c r="B5">
        <v>20000</v>
      </c>
      <c r="C5" t="s">
        <v>13</v>
      </c>
      <c r="D5" t="s">
        <v>11</v>
      </c>
      <c r="E5">
        <v>80000</v>
      </c>
      <c r="F5" t="s">
        <v>6</v>
      </c>
      <c r="G5" t="str">
        <f>IF(OR(E5&gt;=50000,F5="A"),"Bonus","nobonus")</f>
        <v>Bonus</v>
      </c>
      <c r="H5" t="str">
        <f>IF(NOT(C5="yes"),"pending","done")</f>
        <v>done</v>
      </c>
    </row>
    <row r="6" spans="1:9" x14ac:dyDescent="0.25">
      <c r="A6" t="s">
        <v>2</v>
      </c>
      <c r="B6">
        <v>80000</v>
      </c>
      <c r="C6" t="s">
        <v>14</v>
      </c>
      <c r="D6" t="s">
        <v>12</v>
      </c>
      <c r="E6">
        <v>90000</v>
      </c>
      <c r="F6" t="s">
        <v>7</v>
      </c>
      <c r="G6">
        <f>SUMIF(A5:A8,"sales",B5:B8)</f>
        <v>40000</v>
      </c>
      <c r="H6" t="str">
        <f>IF(NOT(C6="yes"),"pending","done")</f>
        <v>pending</v>
      </c>
    </row>
    <row r="7" spans="1:9" x14ac:dyDescent="0.25">
      <c r="A7" t="s">
        <v>3</v>
      </c>
      <c r="B7">
        <v>40000</v>
      </c>
      <c r="C7" t="s">
        <v>14</v>
      </c>
      <c r="D7" t="s">
        <v>11</v>
      </c>
      <c r="E7">
        <v>70000</v>
      </c>
      <c r="F7" t="s">
        <v>8</v>
      </c>
      <c r="G7">
        <f>COUNTIF(D5:D8,"pass")</f>
        <v>3</v>
      </c>
    </row>
    <row r="8" spans="1:9" x14ac:dyDescent="0.25">
      <c r="A8" t="s">
        <v>4</v>
      </c>
      <c r="B8">
        <v>60000</v>
      </c>
      <c r="C8" t="s">
        <v>13</v>
      </c>
      <c r="D8" t="s">
        <v>11</v>
      </c>
      <c r="E8">
        <v>100000</v>
      </c>
      <c r="F8" t="s">
        <v>9</v>
      </c>
      <c r="G8">
        <f>AVERAGEIF(A5:A8,"HR",B5:B8)</f>
        <v>20000</v>
      </c>
    </row>
    <row r="11" spans="1:9" x14ac:dyDescent="0.25">
      <c r="A11">
        <v>101</v>
      </c>
      <c r="B11" t="s">
        <v>15</v>
      </c>
      <c r="C11">
        <v>25000</v>
      </c>
      <c r="D11">
        <f>VLOOKUP(103,A11:C14,3,FALSE)</f>
        <v>28000</v>
      </c>
      <c r="F11" t="s">
        <v>19</v>
      </c>
      <c r="G11" t="s">
        <v>20</v>
      </c>
      <c r="H11" t="s">
        <v>21</v>
      </c>
      <c r="I11" t="s">
        <v>22</v>
      </c>
    </row>
    <row r="12" spans="1:9" x14ac:dyDescent="0.25">
      <c r="A12">
        <v>102</v>
      </c>
      <c r="B12" t="s">
        <v>16</v>
      </c>
      <c r="C12">
        <v>30000</v>
      </c>
      <c r="F12">
        <v>20000</v>
      </c>
      <c r="G12">
        <v>25000</v>
      </c>
      <c r="H12">
        <v>30000</v>
      </c>
      <c r="I12">
        <v>28000</v>
      </c>
    </row>
    <row r="13" spans="1:9" x14ac:dyDescent="0.25">
      <c r="A13">
        <v>103</v>
      </c>
      <c r="B13" t="s">
        <v>17</v>
      </c>
      <c r="C13">
        <v>28000</v>
      </c>
    </row>
    <row r="14" spans="1:9" x14ac:dyDescent="0.25">
      <c r="A14">
        <v>104</v>
      </c>
      <c r="B14" t="s">
        <v>18</v>
      </c>
      <c r="C14">
        <v>35000</v>
      </c>
      <c r="F14">
        <f>HLOOKUP("mar",F11:I12,2,FALSE)</f>
        <v>30000</v>
      </c>
    </row>
    <row r="17" spans="2:5" x14ac:dyDescent="0.25">
      <c r="B17">
        <f>_xlfn.XLOOKUP("amit",B11:B14,A11:A14)</f>
        <v>101</v>
      </c>
      <c r="D17">
        <f>_xlfn.XLOOKUP("amit",B11:B14,A11:A14)</f>
        <v>101</v>
      </c>
      <c r="E17" t="str">
        <f>_xlfn.XLOOKUP(107,A11:A14,C11:C14,"not found")</f>
        <v>not 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shwetaghotekar1313@gmail.com</dc:creator>
  <cp:lastModifiedBy>shwetaghotekar1313@gmail.com</cp:lastModifiedBy>
  <dcterms:created xsi:type="dcterms:W3CDTF">2026-02-28T13:40:10Z</dcterms:created>
  <dcterms:modified xsi:type="dcterms:W3CDTF">2026-02-28T14:02:15Z</dcterms:modified>
</cp:coreProperties>
</file>